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g zonder bron" sheetId="1" state="visible" r:id="rId1"/>
    <sheet name="Ronde 2 gevonden" sheetId="2" state="visible" r:id="rId2"/>
    <sheet name="Eenheidsfouten" sheetId="3" state="visible" r:id="rId3"/>
  </sheets>
  <definedNames>
    <definedName name="_xlnm._FilterDatabase" localSheetId="0" hidden="1">'Nog zonder bron'!$A$1:$H$333</definedName>
    <definedName name="_xlnm._FilterDatabase" localSheetId="1" hidden="1">'Ronde 2 gevonden'!$A$1:$G$68</definedName>
    <definedName name="_xlnm._FilterDatabase" localSheetId="2" hidden="1">'Eenheidsfouten'!$A$1:$I$4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2" customWidth="1" min="3" max="3"/>
    <col width="58" customWidth="1" min="4" max="4"/>
    <col width="11" customWidth="1" min="5" max="5"/>
    <col width="32" customWidth="1" min="6" max="6"/>
    <col width="56" customWidth="1" min="7" max="7"/>
    <col width="30" customWidth="1" min="8" max="8"/>
  </cols>
  <sheetData>
    <row r="1" ht="28" customHeight="1">
      <c r="A1" s="2" t="inlineStr">
        <is>
          <t>Nr</t>
        </is>
      </c>
      <c r="B1" s="2" t="inlineStr">
        <is>
          <t>In gebruik</t>
        </is>
      </c>
      <c r="C1" s="2" t="inlineStr">
        <is>
          <t>Categorie</t>
        </is>
      </c>
      <c r="D1" s="2" t="inlineStr">
        <is>
          <t>Vraag NL</t>
        </is>
      </c>
      <c r="E1" s="2" t="inlineStr">
        <is>
          <t>Antwoord</t>
        </is>
      </c>
      <c r="F1" s="2" t="inlineStr">
        <is>
          <t>Welke bron nodig</t>
        </is>
      </c>
      <c r="G1" s="2" t="inlineStr">
        <is>
          <t>Waar te vinden</t>
        </is>
      </c>
      <c r="H1" s="2" t="inlineStr">
        <is>
          <t>Bron (door jou)</t>
        </is>
      </c>
    </row>
    <row r="2">
      <c r="A2" s="3" t="n">
        <v>62</v>
      </c>
      <c r="B2" s="3" t="inlineStr">
        <is>
          <t>daily</t>
        </is>
      </c>
      <c r="C2" s="3" t="inlineStr">
        <is>
          <t>Vervoer</t>
        </is>
      </c>
      <c r="D2" s="4" t="inlineStr">
        <is>
          <t>Hoeveel kilometer fietst een Nederlander gemiddeld per jaar?</t>
        </is>
      </c>
      <c r="E2" s="3" t="n">
        <v>1065</v>
      </c>
      <c r="F2" s="3" t="inlineStr">
        <is>
          <t>CBS of nationaal statistiekbureau</t>
        </is>
      </c>
      <c r="G2" s="4" t="inlineStr">
        <is>
          <t>CBS StatLine — deze cijfers staan niet op Wikipedia.</t>
        </is>
      </c>
      <c r="H2" s="3" t="inlineStr"/>
    </row>
    <row r="3">
      <c r="A3" s="3" t="n">
        <v>411</v>
      </c>
      <c r="B3" s="3" t="inlineStr">
        <is>
          <t>puzzel</t>
        </is>
      </c>
      <c r="C3" s="3" t="inlineStr">
        <is>
          <t>Milieu en duurzaamheid</t>
        </is>
      </c>
      <c r="D3" s="4" t="inlineStr">
        <is>
          <t>Hoeveel kg afval produceert een Nederlander gemiddeld per jaar?</t>
        </is>
      </c>
      <c r="E3" s="3" t="n">
        <v>449</v>
      </c>
      <c r="F3" s="3" t="inlineStr">
        <is>
          <t>CBS of nationaal statistiekbureau</t>
        </is>
      </c>
      <c r="G3" s="4" t="inlineStr">
        <is>
          <t>CBS StatLine — deze cijfers staan niet op Wikipedia.</t>
        </is>
      </c>
      <c r="H3" s="3" t="inlineStr"/>
    </row>
    <row r="4">
      <c r="A4" s="3" t="n">
        <v>67</v>
      </c>
      <c r="B4" s="3" t="inlineStr">
        <is>
          <t>daily</t>
        </is>
      </c>
      <c r="C4" s="3" t="inlineStr">
        <is>
          <t>Records en vergelijkingen</t>
        </is>
      </c>
      <c r="D4" s="4" t="inlineStr">
        <is>
          <t>Hoe lang duurde de langste voetbalwedstrijd ooit in minuten?</t>
        </is>
      </c>
      <c r="E4" s="3" t="n">
        <v>203</v>
      </c>
      <c r="F4" s="3" t="inlineStr">
        <is>
          <t>Guinness World Records</t>
        </is>
      </c>
      <c r="G4" s="4" t="inlineStr">
        <is>
          <t>guinnessworldrecords.com — records staan niet op Wikipedia.</t>
        </is>
      </c>
      <c r="H4" s="3" t="inlineStr"/>
    </row>
    <row r="5">
      <c r="A5" s="3" t="n">
        <v>68</v>
      </c>
      <c r="B5" s="3" t="inlineStr">
        <is>
          <t>daily</t>
        </is>
      </c>
      <c r="C5" s="3" t="inlineStr">
        <is>
          <t>Records en vergelijkingen</t>
        </is>
      </c>
      <c r="D5" s="4" t="inlineStr">
        <is>
          <t>Hoe lang waren de langste mouwen aan een kledingstuk ooit in meters?</t>
        </is>
      </c>
      <c r="E5" s="3" t="n">
        <v>51</v>
      </c>
      <c r="F5" s="3" t="inlineStr">
        <is>
          <t>Guinness World Records</t>
        </is>
      </c>
      <c r="G5" s="4" t="inlineStr">
        <is>
          <t>guinnessworldrecords.com — records staan niet op Wikipedia.</t>
        </is>
      </c>
      <c r="H5" s="3" t="inlineStr"/>
    </row>
    <row r="6">
      <c r="A6" s="3" t="n">
        <v>69</v>
      </c>
      <c r="B6" s="3" t="inlineStr">
        <is>
          <t>daily</t>
        </is>
      </c>
      <c r="C6" s="3" t="inlineStr">
        <is>
          <t>Records en vergelijkingen</t>
        </is>
      </c>
      <c r="D6" s="4" t="inlineStr">
        <is>
          <t>Hoe lang was de langste vrouw ooit in centimeters?</t>
        </is>
      </c>
      <c r="E6" s="3" t="n">
        <v>255</v>
      </c>
      <c r="F6" s="3" t="inlineStr">
        <is>
          <t>Guinness World Records</t>
        </is>
      </c>
      <c r="G6" s="4" t="inlineStr">
        <is>
          <t>guinnessworldrecords.com — records staan niet op Wikipedia.</t>
        </is>
      </c>
      <c r="H6" s="3" t="inlineStr"/>
    </row>
    <row r="7">
      <c r="A7" s="3" t="n">
        <v>70</v>
      </c>
      <c r="B7" s="3" t="inlineStr">
        <is>
          <t>daily</t>
        </is>
      </c>
      <c r="C7" s="3" t="inlineStr">
        <is>
          <t>Records en vergelijkingen</t>
        </is>
      </c>
      <c r="D7" s="4" t="inlineStr">
        <is>
          <t>Hoe zwaar was de zwaarste hamburger ooit in kilogram?</t>
        </is>
      </c>
      <c r="E7" s="3" t="n">
        <v>1164</v>
      </c>
      <c r="F7" s="3" t="inlineStr">
        <is>
          <t>Guinness World Records</t>
        </is>
      </c>
      <c r="G7" s="4" t="inlineStr">
        <is>
          <t>guinnessworldrecords.com — records staan niet op Wikipedia.</t>
        </is>
      </c>
      <c r="H7" s="3" t="inlineStr"/>
    </row>
    <row r="8">
      <c r="A8" s="3" t="n">
        <v>71</v>
      </c>
      <c r="B8" s="3" t="inlineStr">
        <is>
          <t>daily</t>
        </is>
      </c>
      <c r="C8" s="3" t="inlineStr">
        <is>
          <t>Records en vergelijkingen</t>
        </is>
      </c>
      <c r="D8" s="4" t="inlineStr">
        <is>
          <t>Hoe zwaar was de zwaarste pompoen ooit in kilogram?</t>
        </is>
      </c>
      <c r="E8" s="3" t="n">
        <v>1247</v>
      </c>
      <c r="F8" s="3" t="inlineStr">
        <is>
          <t>Guinness World Records</t>
        </is>
      </c>
      <c r="G8" s="4" t="inlineStr">
        <is>
          <t>guinnessworldrecords.com — records staan niet op Wikipedia.</t>
        </is>
      </c>
      <c r="H8" s="3" t="inlineStr"/>
    </row>
    <row r="9">
      <c r="A9" s="3" t="n">
        <v>383</v>
      </c>
      <c r="B9" s="3" t="inlineStr">
        <is>
          <t>puzzel</t>
        </is>
      </c>
      <c r="C9" s="3" t="inlineStr">
        <is>
          <t>Mode en lifestyle</t>
        </is>
      </c>
      <c r="D9" s="4" t="inlineStr">
        <is>
          <t>Hoeveel meter lang was de langste trouwjurkstaart volgens Guinness World Records?</t>
        </is>
      </c>
      <c r="E9" s="3" t="n">
        <v>8100</v>
      </c>
      <c r="F9" s="3" t="inlineStr">
        <is>
          <t>Guinness World Records</t>
        </is>
      </c>
      <c r="G9" s="4" t="inlineStr">
        <is>
          <t>guinnessworldrecords.com — records staan niet op Wikipedia.</t>
        </is>
      </c>
      <c r="H9" s="3" t="inlineStr"/>
    </row>
    <row r="10">
      <c r="A10" s="3" t="n">
        <v>434</v>
      </c>
      <c r="B10" s="3" t="inlineStr">
        <is>
          <t>puzzel</t>
        </is>
      </c>
      <c r="C10" s="3" t="inlineStr">
        <is>
          <t>Records en vergelijkingen</t>
        </is>
      </c>
      <c r="D10" s="4" t="inlineStr">
        <is>
          <t>Hoe groot was de grootste pizza ooit in vierkante meter?</t>
        </is>
      </c>
      <c r="E10" s="3" t="n">
        <v>1297</v>
      </c>
      <c r="F10" s="3" t="inlineStr">
        <is>
          <t>Guinness World Records</t>
        </is>
      </c>
      <c r="G10" s="4" t="inlineStr">
        <is>
          <t>guinnessworldrecords.com — records staan niet op Wikipedia.</t>
        </is>
      </c>
      <c r="H10" s="3" t="inlineStr"/>
    </row>
    <row r="11">
      <c r="A11" s="3" t="n">
        <v>435</v>
      </c>
      <c r="B11" s="3" t="inlineStr">
        <is>
          <t>puzzel</t>
        </is>
      </c>
      <c r="C11" s="3" t="inlineStr">
        <is>
          <t>Records en vergelijkingen</t>
        </is>
      </c>
      <c r="D11" s="4" t="inlineStr">
        <is>
          <t>Hoe hoog was de hoogste hond ooit in centimeters?</t>
        </is>
      </c>
      <c r="E11" s="3" t="n">
        <v>112</v>
      </c>
      <c r="F11" s="3" t="inlineStr">
        <is>
          <t>Guinness World Records</t>
        </is>
      </c>
      <c r="G11" s="4" t="inlineStr">
        <is>
          <t>guinnessworldrecords.com — records staan niet op Wikipedia.</t>
        </is>
      </c>
      <c r="H11" s="3" t="inlineStr"/>
    </row>
    <row r="12">
      <c r="A12" s="3" t="n">
        <v>436</v>
      </c>
      <c r="B12" s="3" t="inlineStr">
        <is>
          <t>puzzel</t>
        </is>
      </c>
      <c r="C12" s="3" t="inlineStr">
        <is>
          <t>Records en vergelijkingen</t>
        </is>
      </c>
      <c r="D12" s="4" t="inlineStr">
        <is>
          <t>Hoe hoog was de hoogste zandsculptuur ooit in meters?</t>
        </is>
      </c>
      <c r="E12" s="3" t="n">
        <v>21</v>
      </c>
      <c r="F12" s="3" t="inlineStr">
        <is>
          <t>Guinness World Records</t>
        </is>
      </c>
      <c r="G12" s="4" t="inlineStr">
        <is>
          <t>guinnessworldrecords.com — records staan niet op Wikipedia.</t>
        </is>
      </c>
      <c r="H12" s="3" t="inlineStr"/>
    </row>
    <row r="13">
      <c r="A13" s="3" t="n">
        <v>437</v>
      </c>
      <c r="B13" s="3" t="inlineStr">
        <is>
          <t>puzzel</t>
        </is>
      </c>
      <c r="C13" s="3" t="inlineStr">
        <is>
          <t>Records en vergelijkingen</t>
        </is>
      </c>
      <c r="D13" s="4" t="inlineStr">
        <is>
          <t>Hoe hoog was het hoogste paard ooit in centimeters?</t>
        </is>
      </c>
      <c r="E13" s="3" t="n">
        <v>219</v>
      </c>
      <c r="F13" s="3" t="inlineStr">
        <is>
          <t>Guinness World Records</t>
        </is>
      </c>
      <c r="G13" s="4" t="inlineStr">
        <is>
          <t>guinnessworldrecords.com — records staan niet op Wikipedia.</t>
        </is>
      </c>
      <c r="H13" s="3" t="inlineStr"/>
    </row>
    <row r="14">
      <c r="A14" s="3" t="n">
        <v>438</v>
      </c>
      <c r="B14" s="3" t="inlineStr">
        <is>
          <t>puzzel</t>
        </is>
      </c>
      <c r="C14" s="3" t="inlineStr">
        <is>
          <t>Records en vergelijkingen</t>
        </is>
      </c>
      <c r="D14" s="4" t="inlineStr">
        <is>
          <t>Hoe klein was het kleinste paard ooit in centimeters?</t>
        </is>
      </c>
      <c r="E14" s="3" t="n">
        <v>36</v>
      </c>
      <c r="F14" s="3" t="inlineStr">
        <is>
          <t>Guinness World Records</t>
        </is>
      </c>
      <c r="G14" s="4" t="inlineStr">
        <is>
          <t>guinnessworldrecords.com — records staan niet op Wikipedia.</t>
        </is>
      </c>
      <c r="H14" s="3" t="inlineStr"/>
    </row>
    <row r="15">
      <c r="A15" s="3" t="n">
        <v>439</v>
      </c>
      <c r="B15" s="3" t="inlineStr">
        <is>
          <t>puzzel</t>
        </is>
      </c>
      <c r="C15" s="3" t="inlineStr">
        <is>
          <t>Records en vergelijkingen</t>
        </is>
      </c>
      <c r="D15" s="4" t="inlineStr">
        <is>
          <t>Hoe lang duurde de langste plank ooit in minuten?</t>
        </is>
      </c>
      <c r="E15" s="3" t="n">
        <v>579</v>
      </c>
      <c r="F15" s="3" t="inlineStr">
        <is>
          <t>Guinness World Records</t>
        </is>
      </c>
      <c r="G15" s="4" t="inlineStr">
        <is>
          <t>guinnessworldrecords.com — records staan niet op Wikipedia.</t>
        </is>
      </c>
      <c r="H15" s="3" t="inlineStr"/>
    </row>
    <row r="16">
      <c r="A16" s="3" t="n">
        <v>443</v>
      </c>
      <c r="B16" s="3" t="inlineStr">
        <is>
          <t>puzzel</t>
        </is>
      </c>
      <c r="C16" s="3" t="inlineStr">
        <is>
          <t>Records en vergelijkingen</t>
        </is>
      </c>
      <c r="D16" s="4" t="inlineStr">
        <is>
          <t>Hoe lang was de langste hond ooit in centimeters?</t>
        </is>
      </c>
      <c r="E16" s="3" t="n">
        <v>250</v>
      </c>
      <c r="F16" s="3" t="inlineStr">
        <is>
          <t>Guinness World Records</t>
        </is>
      </c>
      <c r="G16" s="4" t="inlineStr">
        <is>
          <t>guinnessworldrecords.com — records staan niet op Wikipedia.</t>
        </is>
      </c>
      <c r="H16" s="3" t="inlineStr"/>
    </row>
    <row r="17">
      <c r="A17" s="3" t="n">
        <v>444</v>
      </c>
      <c r="B17" s="3" t="inlineStr">
        <is>
          <t>puzzel</t>
        </is>
      </c>
      <c r="C17" s="3" t="inlineStr">
        <is>
          <t>Records en vergelijkingen</t>
        </is>
      </c>
      <c r="D17" s="4" t="inlineStr">
        <is>
          <t>Hoe lang was de langste hotdog ooit in meters?</t>
        </is>
      </c>
      <c r="E17" s="3" t="n">
        <v>203</v>
      </c>
      <c r="F17" s="3" t="inlineStr">
        <is>
          <t>Guinness World Records</t>
        </is>
      </c>
      <c r="G17" s="4" t="inlineStr">
        <is>
          <t>guinnessworldrecords.com — records staan niet op Wikipedia.</t>
        </is>
      </c>
      <c r="H17" s="3" t="inlineStr"/>
    </row>
    <row r="18">
      <c r="A18" s="3" t="n">
        <v>445</v>
      </c>
      <c r="B18" s="3" t="inlineStr">
        <is>
          <t>puzzel</t>
        </is>
      </c>
      <c r="C18" s="3" t="inlineStr">
        <is>
          <t>Records en vergelijkingen</t>
        </is>
      </c>
      <c r="D18" s="4" t="inlineStr">
        <is>
          <t>Hoe lang was de langste kat ooit in centimeters?</t>
        </is>
      </c>
      <c r="E18" s="3" t="n">
        <v>123</v>
      </c>
      <c r="F18" s="3" t="inlineStr">
        <is>
          <t>Guinness World Records</t>
        </is>
      </c>
      <c r="G18" s="4" t="inlineStr">
        <is>
          <t>guinnessworldrecords.com — records staan niet op Wikipedia.</t>
        </is>
      </c>
      <c r="H18" s="3" t="inlineStr"/>
    </row>
    <row r="19">
      <c r="A19" s="3" t="n">
        <v>446</v>
      </c>
      <c r="B19" s="3" t="inlineStr">
        <is>
          <t>puzzel</t>
        </is>
      </c>
      <c r="C19" s="3" t="inlineStr">
        <is>
          <t>Records en vergelijkingen</t>
        </is>
      </c>
      <c r="D19" s="4" t="inlineStr">
        <is>
          <t>Hoe lang was de langste snoepstaaf ooit in kilometer?</t>
        </is>
      </c>
      <c r="E19" s="3" t="n">
        <v>1</v>
      </c>
      <c r="F19" s="3" t="inlineStr">
        <is>
          <t>Guinness World Records</t>
        </is>
      </c>
      <c r="G19" s="4" t="inlineStr">
        <is>
          <t>guinnessworldrecords.com — records staan niet op Wikipedia.</t>
        </is>
      </c>
      <c r="H19" s="3" t="inlineStr"/>
    </row>
    <row r="20">
      <c r="A20" s="3" t="n">
        <v>448</v>
      </c>
      <c r="B20" s="3" t="inlineStr">
        <is>
          <t>puzzel</t>
        </is>
      </c>
      <c r="C20" s="3" t="inlineStr">
        <is>
          <t>Records en vergelijkingen</t>
        </is>
      </c>
      <c r="D20" s="4" t="inlineStr">
        <is>
          <t>Hoe zwaar was de grootste kaas ooit gemaakt in kilogram?</t>
        </is>
      </c>
      <c r="E20" s="3" t="n">
        <v>26000</v>
      </c>
      <c r="F20" s="3" t="inlineStr">
        <is>
          <t>Guinness World Records</t>
        </is>
      </c>
      <c r="G20" s="4" t="inlineStr">
        <is>
          <t>guinnessworldrecords.com — records staan niet op Wikipedia.</t>
        </is>
      </c>
      <c r="H20" s="3" t="inlineStr"/>
    </row>
    <row r="21">
      <c r="A21" s="3" t="n">
        <v>449</v>
      </c>
      <c r="B21" s="3" t="inlineStr">
        <is>
          <t>puzzel</t>
        </is>
      </c>
      <c r="C21" s="3" t="inlineStr">
        <is>
          <t>Records en vergelijkingen</t>
        </is>
      </c>
      <c r="D21" s="4" t="inlineStr">
        <is>
          <t>Hoe zwaar was de zwaarste hond ooit in kilogram?</t>
        </is>
      </c>
      <c r="E21" s="3" t="n">
        <v>156</v>
      </c>
      <c r="F21" s="3" t="inlineStr">
        <is>
          <t>Guinness World Records</t>
        </is>
      </c>
      <c r="G21" s="4" t="inlineStr">
        <is>
          <t>guinnessworldrecords.com — records staan niet op Wikipedia.</t>
        </is>
      </c>
      <c r="H21" s="3" t="inlineStr"/>
    </row>
    <row r="22">
      <c r="A22" s="3" t="n">
        <v>451</v>
      </c>
      <c r="B22" s="3" t="inlineStr">
        <is>
          <t>puzzel</t>
        </is>
      </c>
      <c r="C22" s="3" t="inlineStr">
        <is>
          <t>Records en vergelijkingen</t>
        </is>
      </c>
      <c r="D22" s="4" t="inlineStr">
        <is>
          <t>Hoeveel kilometer was de langste zwemtocht ooit?</t>
        </is>
      </c>
      <c r="E22" s="3" t="n">
        <v>500</v>
      </c>
      <c r="F22" s="3" t="inlineStr">
        <is>
          <t>Guinness World Records</t>
        </is>
      </c>
      <c r="G22" s="4" t="inlineStr">
        <is>
          <t>guinnessworldrecords.com — records staan niet op Wikipedia.</t>
        </is>
      </c>
      <c r="H22" s="3" t="inlineStr"/>
    </row>
    <row r="23">
      <c r="A23" s="3" t="n">
        <v>452</v>
      </c>
      <c r="B23" s="3" t="inlineStr">
        <is>
          <t>puzzel</t>
        </is>
      </c>
      <c r="C23" s="3" t="inlineStr">
        <is>
          <t>Records en vergelijkingen</t>
        </is>
      </c>
      <c r="D23" s="4" t="inlineStr">
        <is>
          <t>Hoeveel marathons liep de persoon met het record voor de meeste marathons?</t>
        </is>
      </c>
      <c r="E23" s="3" t="n">
        <v>1000</v>
      </c>
      <c r="F23" s="3" t="inlineStr">
        <is>
          <t>Guinness World Records</t>
        </is>
      </c>
      <c r="G23" s="4" t="inlineStr">
        <is>
          <t>guinnessworldrecords.com — records staan niet op Wikipedia.</t>
        </is>
      </c>
      <c r="H23" s="3" t="inlineStr"/>
    </row>
    <row r="24">
      <c r="A24" s="3" t="n">
        <v>454</v>
      </c>
      <c r="B24" s="3" t="inlineStr">
        <is>
          <t>puzzel</t>
        </is>
      </c>
      <c r="C24" s="3" t="inlineStr">
        <is>
          <t>Records en vergelijkingen</t>
        </is>
      </c>
      <c r="D24" s="4" t="inlineStr">
        <is>
          <t>Hoeveel piercings had de persoon met de meeste piercings ooit?</t>
        </is>
      </c>
      <c r="E24" s="3" t="n">
        <v>453</v>
      </c>
      <c r="F24" s="3" t="inlineStr">
        <is>
          <t>Guinness World Records</t>
        </is>
      </c>
      <c r="G24" s="4" t="inlineStr">
        <is>
          <t>guinnessworldrecords.com — records staan niet op Wikipedia.</t>
        </is>
      </c>
      <c r="H24" s="3" t="inlineStr"/>
    </row>
    <row r="25">
      <c r="A25" s="3" t="n">
        <v>455</v>
      </c>
      <c r="B25" s="3" t="inlineStr">
        <is>
          <t>puzzel</t>
        </is>
      </c>
      <c r="C25" s="3" t="inlineStr">
        <is>
          <t>Records en vergelijkingen</t>
        </is>
      </c>
      <c r="D25" s="4" t="inlineStr">
        <is>
          <t>Hoeveel punten scoorde een team in de hoogste basketbalscore ooit?</t>
        </is>
      </c>
      <c r="E25" s="3" t="n">
        <v>186</v>
      </c>
      <c r="F25" s="3" t="inlineStr">
        <is>
          <t>Guinness World Records</t>
        </is>
      </c>
      <c r="G25" s="4" t="inlineStr">
        <is>
          <t>guinnessworldrecords.com — records staan niet op Wikipedia.</t>
        </is>
      </c>
      <c r="H25" s="3" t="inlineStr"/>
    </row>
    <row r="26">
      <c r="A26" s="3" t="n">
        <v>457</v>
      </c>
      <c r="B26" s="3" t="inlineStr">
        <is>
          <t>puzzel</t>
        </is>
      </c>
      <c r="C26" s="3" t="inlineStr">
        <is>
          <t>Records en vergelijkingen</t>
        </is>
      </c>
      <c r="D26" s="4" t="inlineStr">
        <is>
          <t>Hoeveel voertuigen stonden er ongeveer in de langste file ooit?</t>
        </is>
      </c>
      <c r="E26" s="3" t="n">
        <v>12000</v>
      </c>
      <c r="F26" s="3" t="inlineStr">
        <is>
          <t>Guinness World Records</t>
        </is>
      </c>
      <c r="G26" s="4" t="inlineStr">
        <is>
          <t>guinnessworldrecords.com — records staan niet op Wikipedia.</t>
        </is>
      </c>
      <c r="H26" s="3" t="inlineStr"/>
    </row>
    <row r="27">
      <c r="A27" s="3" t="n">
        <v>58</v>
      </c>
      <c r="B27" s="3" t="inlineStr">
        <is>
          <t>daily</t>
        </is>
      </c>
      <c r="C27" s="3" t="inlineStr">
        <is>
          <t>Muziek</t>
        </is>
      </c>
      <c r="D27" s="4" t="inlineStr">
        <is>
          <t>Hoeveel witte toetsen heeft een concertpiano?</t>
        </is>
      </c>
      <c r="E27" s="3" t="n">
        <v>52</v>
      </c>
      <c r="F27" s="3" t="inlineStr">
        <is>
          <t>algemeen naslagwerk</t>
        </is>
      </c>
      <c r="G27" s="4" t="inlineStr">
        <is>
          <t>Handmatig opzoeken; geen vaste bron aan te wijzen.</t>
        </is>
      </c>
      <c r="H27" s="3" t="inlineStr"/>
    </row>
    <row r="28">
      <c r="A28" s="3" t="n">
        <v>59</v>
      </c>
      <c r="B28" s="3" t="inlineStr">
        <is>
          <t>daily</t>
        </is>
      </c>
      <c r="C28" s="3" t="inlineStr">
        <is>
          <t>Natuurkunde</t>
        </is>
      </c>
      <c r="D28" s="4" t="inlineStr">
        <is>
          <t>Hoeveel kilometer per uur is de geluidssnelheid op zeeniveau afgerond?</t>
        </is>
      </c>
      <c r="E28" s="3" t="n">
        <v>1234</v>
      </c>
      <c r="F28" s="3" t="inlineStr">
        <is>
          <t>algemeen naslagwerk</t>
        </is>
      </c>
      <c r="G28" s="4" t="inlineStr">
        <is>
          <t>Handmatig opzoeken; geen vaste bron aan te wijzen.</t>
        </is>
      </c>
      <c r="H28" s="3" t="inlineStr"/>
    </row>
    <row r="29">
      <c r="A29" s="3" t="n">
        <v>66</v>
      </c>
      <c r="B29" s="3" t="inlineStr">
        <is>
          <t>daily</t>
        </is>
      </c>
      <c r="C29" s="3" t="inlineStr">
        <is>
          <t>Records en vergelijkingen</t>
        </is>
      </c>
      <c r="D29" s="4" t="inlineStr">
        <is>
          <t>Hoe groot was het grootste permanente IMAX-scherm in vierkante meter?</t>
        </is>
      </c>
      <c r="E29" s="3" t="n">
        <v>815</v>
      </c>
      <c r="F29" s="3" t="inlineStr">
        <is>
          <t>algemeen naslagwerk</t>
        </is>
      </c>
      <c r="G29" s="4" t="inlineStr">
        <is>
          <t>Handmatig opzoeken; geen vaste bron aan te wijzen.</t>
        </is>
      </c>
      <c r="H29" s="3" t="inlineStr"/>
    </row>
    <row r="30">
      <c r="A30" s="3" t="n">
        <v>72</v>
      </c>
      <c r="B30" s="3" t="inlineStr">
        <is>
          <t>daily</t>
        </is>
      </c>
      <c r="C30" s="3" t="inlineStr">
        <is>
          <t>Records en vergelijkingen</t>
        </is>
      </c>
      <c r="D30" s="4" t="inlineStr">
        <is>
          <t>Hoeveel procent van het lichaam was bedekt met tatoeages bij de meest getatoeëerde man?</t>
        </is>
      </c>
      <c r="E30" s="3" t="n">
        <v>97</v>
      </c>
      <c r="F30" s="3" t="inlineStr">
        <is>
          <t>algemeen naslagwerk</t>
        </is>
      </c>
      <c r="G30" s="4" t="inlineStr">
        <is>
          <t>Handmatig opzoeken; geen vaste bron aan te wijzen.</t>
        </is>
      </c>
      <c r="H30" s="3" t="inlineStr"/>
    </row>
    <row r="31">
      <c r="A31" s="3" t="n">
        <v>75</v>
      </c>
      <c r="B31" s="3" t="inlineStr">
        <is>
          <t>daily</t>
        </is>
      </c>
      <c r="C31" s="3" t="inlineStr">
        <is>
          <t>Spellen en speelgoed</t>
        </is>
      </c>
      <c r="D31" s="4" t="inlineStr">
        <is>
          <t>Hoeveel damstenen krijgt iedere speler bij de start van een standaard damspel?</t>
        </is>
      </c>
      <c r="E31" s="3" t="n">
        <v>20</v>
      </c>
      <c r="F31" s="3" t="inlineStr">
        <is>
          <t>algemeen naslagwerk</t>
        </is>
      </c>
      <c r="G31" s="4" t="inlineStr">
        <is>
          <t>Handmatig opzoeken; geen vaste bron aan te wijzen.</t>
        </is>
      </c>
      <c r="H31" s="3" t="inlineStr"/>
    </row>
    <row r="32">
      <c r="A32" s="3" t="n">
        <v>95</v>
      </c>
      <c r="B32" s="3" t="inlineStr">
        <is>
          <t>daily</t>
        </is>
      </c>
      <c r="C32" s="3" t="inlineStr">
        <is>
          <t>Technologie</t>
        </is>
      </c>
      <c r="D32" s="4" t="inlineStr">
        <is>
          <t>Wat is de totale lengte van alle onderzeese internetkabels op aarde in duizend kilometer?</t>
        </is>
      </c>
      <c r="E32" s="3" t="n">
        <v>1400</v>
      </c>
      <c r="F32" s="3" t="inlineStr">
        <is>
          <t>algemeen naslagwerk</t>
        </is>
      </c>
      <c r="G32" s="4" t="inlineStr">
        <is>
          <t>Handmatig opzoeken; geen vaste bron aan te wijzen.</t>
        </is>
      </c>
      <c r="H32" s="3" t="inlineStr"/>
    </row>
    <row r="33">
      <c r="A33" s="3" t="n">
        <v>175</v>
      </c>
      <c r="B33" s="3" t="inlineStr">
        <is>
          <t>puzzel</t>
        </is>
      </c>
      <c r="C33" s="3" t="inlineStr">
        <is>
          <t>Economie &amp; geld</t>
        </is>
      </c>
      <c r="D33" s="4" t="inlineStr">
        <is>
          <t>Hoeveel landen zijn lid van de G20?</t>
        </is>
      </c>
      <c r="E33" s="3" t="n">
        <v>19</v>
      </c>
      <c r="F33" s="3" t="inlineStr">
        <is>
          <t>algemeen naslagwerk</t>
        </is>
      </c>
      <c r="G33" s="4" t="inlineStr">
        <is>
          <t>Handmatig opzoeken; geen vaste bron aan te wijzen.</t>
        </is>
      </c>
      <c r="H33" s="3" t="inlineStr"/>
    </row>
    <row r="34">
      <c r="A34" s="3" t="n">
        <v>190</v>
      </c>
      <c r="B34" s="3" t="inlineStr">
        <is>
          <t>puzzel</t>
        </is>
      </c>
      <c r="C34" s="3" t="inlineStr">
        <is>
          <t>Eten &amp; drinken</t>
        </is>
      </c>
      <c r="D34" s="4" t="inlineStr">
        <is>
          <t>Hoeveel shotjes espresso zitten er in een cappuccino?</t>
        </is>
      </c>
      <c r="E34" s="3" t="n">
        <v>1</v>
      </c>
      <c r="F34" s="3" t="inlineStr">
        <is>
          <t>algemeen naslagwerk</t>
        </is>
      </c>
      <c r="G34" s="4" t="inlineStr">
        <is>
          <t>Handmatig opzoeken; geen vaste bron aan te wijzen.</t>
        </is>
      </c>
      <c r="H34" s="3" t="inlineStr"/>
    </row>
    <row r="35">
      <c r="A35" s="3" t="n">
        <v>195</v>
      </c>
      <c r="B35" s="3" t="inlineStr">
        <is>
          <t>puzzel</t>
        </is>
      </c>
      <c r="C35" s="3" t="inlineStr">
        <is>
          <t>Films en series</t>
        </is>
      </c>
      <c r="D35" s="4" t="inlineStr">
        <is>
          <t>Hoeveel afleveringen telt de Amerikaanse versie van The Office?</t>
        </is>
      </c>
      <c r="E35" s="3" t="n">
        <v>201</v>
      </c>
      <c r="F35" s="3" t="inlineStr">
        <is>
          <t>algemeen naslagwerk</t>
        </is>
      </c>
      <c r="G35" s="4" t="inlineStr">
        <is>
          <t>Handmatig opzoeken; geen vaste bron aan te wijzen.</t>
        </is>
      </c>
      <c r="H35" s="3" t="inlineStr"/>
    </row>
    <row r="36">
      <c r="A36" s="3" t="n">
        <v>200</v>
      </c>
      <c r="B36" s="3" t="inlineStr">
        <is>
          <t>puzzel</t>
        </is>
      </c>
      <c r="C36" s="3" t="inlineStr">
        <is>
          <t>Boeken en literatuur</t>
        </is>
      </c>
      <c r="D36" s="4" t="inlineStr">
        <is>
          <t>Hoeveel boeken bevat de originele The Hunger Games-trilogie?</t>
        </is>
      </c>
      <c r="E36" s="3" t="n">
        <v>3</v>
      </c>
      <c r="F36" s="3" t="inlineStr">
        <is>
          <t>algemeen naslagwerk</t>
        </is>
      </c>
      <c r="G36" s="4" t="inlineStr">
        <is>
          <t>Handmatig opzoeken; geen vaste bron aan te wijzen.</t>
        </is>
      </c>
      <c r="H36" s="3" t="inlineStr"/>
    </row>
    <row r="37">
      <c r="A37" s="3" t="n">
        <v>201</v>
      </c>
      <c r="B37" s="3" t="inlineStr">
        <is>
          <t>puzzel</t>
        </is>
      </c>
      <c r="C37" s="3" t="inlineStr">
        <is>
          <t>Films en series</t>
        </is>
      </c>
      <c r="D37" s="4" t="inlineStr">
        <is>
          <t>Hoeveel delen telt de originele The Godfather-filmreeks?</t>
        </is>
      </c>
      <c r="E37" s="3" t="n">
        <v>3</v>
      </c>
      <c r="F37" s="3" t="inlineStr">
        <is>
          <t>algemeen naslagwerk</t>
        </is>
      </c>
      <c r="G37" s="4" t="inlineStr">
        <is>
          <t>Handmatig opzoeken; geen vaste bron aan te wijzen.</t>
        </is>
      </c>
      <c r="H37" s="3" t="inlineStr"/>
    </row>
    <row r="38">
      <c r="A38" s="3" t="n">
        <v>202</v>
      </c>
      <c r="B38" s="3" t="inlineStr">
        <is>
          <t>puzzel</t>
        </is>
      </c>
      <c r="C38" s="3" t="inlineStr">
        <is>
          <t>Films en series</t>
        </is>
      </c>
      <c r="D38" s="4" t="inlineStr">
        <is>
          <t>Hoeveel films regisseerde Christopher Nolan vóór Oppenheimer?</t>
        </is>
      </c>
      <c r="E38" s="3" t="n">
        <v>11</v>
      </c>
      <c r="F38" s="3" t="inlineStr">
        <is>
          <t>algemeen naslagwerk</t>
        </is>
      </c>
      <c r="G38" s="4" t="inlineStr">
        <is>
          <t>Handmatig opzoeken; geen vaste bron aan te wijzen.</t>
        </is>
      </c>
      <c r="H38" s="3" t="inlineStr"/>
    </row>
    <row r="39">
      <c r="A39" s="3" t="n">
        <v>204</v>
      </c>
      <c r="B39" s="3" t="inlineStr">
        <is>
          <t>puzzel</t>
        </is>
      </c>
      <c r="C39" s="3" t="inlineStr">
        <is>
          <t>Films en series</t>
        </is>
      </c>
      <c r="D39" s="4" t="inlineStr">
        <is>
          <t>Hoeveel films telt de originele The Matrix-trilogie?</t>
        </is>
      </c>
      <c r="E39" s="3" t="n">
        <v>3</v>
      </c>
      <c r="F39" s="3" t="inlineStr">
        <is>
          <t>algemeen naslagwerk</t>
        </is>
      </c>
      <c r="G39" s="4" t="inlineStr">
        <is>
          <t>Handmatig opzoeken; geen vaste bron aan te wijzen.</t>
        </is>
      </c>
      <c r="H39" s="3" t="inlineStr"/>
    </row>
    <row r="40">
      <c r="A40" s="3" t="n">
        <v>264</v>
      </c>
      <c r="B40" s="3" t="inlineStr">
        <is>
          <t>puzzel</t>
        </is>
      </c>
      <c r="C40" s="3" t="inlineStr">
        <is>
          <t>Geografie</t>
        </is>
      </c>
      <c r="D40" s="4" t="inlineStr">
        <is>
          <t>Hoeveel inwoners heeft Monaco?</t>
        </is>
      </c>
      <c r="E40" s="3" t="n">
        <v>39000</v>
      </c>
      <c r="F40" s="3" t="inlineStr">
        <is>
          <t>algemeen naslagwerk</t>
        </is>
      </c>
      <c r="G40" s="4" t="inlineStr">
        <is>
          <t>Handmatig opzoeken; geen vaste bron aan te wijzen.</t>
        </is>
      </c>
      <c r="H40" s="3" t="inlineStr"/>
    </row>
    <row r="41">
      <c r="A41" s="3" t="n">
        <v>291</v>
      </c>
      <c r="B41" s="3" t="inlineStr">
        <is>
          <t>puzzel</t>
        </is>
      </c>
      <c r="C41" s="3" t="inlineStr">
        <is>
          <t>Geografie</t>
        </is>
      </c>
      <c r="D41" s="4" t="inlineStr">
        <is>
          <t>Hoeveel officiële inwoners heeft Vaticaanstad?</t>
        </is>
      </c>
      <c r="E41" s="3" t="n">
        <v>800</v>
      </c>
      <c r="F41" s="3" t="inlineStr">
        <is>
          <t>algemeen naslagwerk</t>
        </is>
      </c>
      <c r="G41" s="4" t="inlineStr">
        <is>
          <t>Handmatig opzoeken; geen vaste bron aan te wijzen.</t>
        </is>
      </c>
      <c r="H41" s="3" t="inlineStr"/>
    </row>
    <row r="42">
      <c r="A42" s="3" t="n">
        <v>311</v>
      </c>
      <c r="B42" s="3" t="inlineStr">
        <is>
          <t>puzzel</t>
        </is>
      </c>
      <c r="C42" s="3" t="inlineStr">
        <is>
          <t>Biologie &amp; gezondheid</t>
        </is>
      </c>
      <c r="D42" s="4" t="inlineStr">
        <is>
          <t>Hoeveel chromosomen telt een gezonde menselijke cel?</t>
        </is>
      </c>
      <c r="E42" s="3" t="n">
        <v>46</v>
      </c>
      <c r="F42" s="3" t="inlineStr">
        <is>
          <t>algemeen naslagwerk</t>
        </is>
      </c>
      <c r="G42" s="4" t="inlineStr">
        <is>
          <t>Handmatig opzoeken; geen vaste bron aan te wijzen.</t>
        </is>
      </c>
      <c r="H42" s="3" t="inlineStr"/>
    </row>
    <row r="43">
      <c r="A43" s="3" t="n">
        <v>344</v>
      </c>
      <c r="B43" s="3" t="inlineStr">
        <is>
          <t>puzzel</t>
        </is>
      </c>
      <c r="C43" s="3" t="inlineStr">
        <is>
          <t>Geografie</t>
        </is>
      </c>
      <c r="D43" s="4" t="inlineStr">
        <is>
          <t>Wat is de autorij-afstand van Amsterdam naar Parijs in km?</t>
        </is>
      </c>
      <c r="E43" s="3" t="n">
        <v>510</v>
      </c>
      <c r="F43" s="3" t="inlineStr">
        <is>
          <t>algemeen naslagwerk</t>
        </is>
      </c>
      <c r="G43" s="4" t="inlineStr">
        <is>
          <t>Handmatig opzoeken; geen vaste bron aan te wijzen.</t>
        </is>
      </c>
      <c r="H43" s="3" t="inlineStr"/>
    </row>
    <row r="44">
      <c r="A44" s="3" t="n">
        <v>353</v>
      </c>
      <c r="B44" s="3" t="inlineStr">
        <is>
          <t>puzzel</t>
        </is>
      </c>
      <c r="C44" s="3" t="inlineStr">
        <is>
          <t>Taal</t>
        </is>
      </c>
      <c r="D44" s="4" t="inlineStr">
        <is>
          <t>Hoeveel nationale talen heeft Zuid-Afrika volgens de grondwet?</t>
        </is>
      </c>
      <c r="E44" s="3" t="n">
        <v>11</v>
      </c>
      <c r="F44" s="3" t="inlineStr">
        <is>
          <t>algemeen naslagwerk</t>
        </is>
      </c>
      <c r="G44" s="4" t="inlineStr">
        <is>
          <t>Handmatig opzoeken; geen vaste bron aan te wijzen.</t>
        </is>
      </c>
      <c r="H44" s="3" t="inlineStr"/>
    </row>
    <row r="45">
      <c r="A45" s="3" t="n">
        <v>381</v>
      </c>
      <c r="B45" s="3" t="inlineStr">
        <is>
          <t>puzzel</t>
        </is>
      </c>
      <c r="C45" s="3" t="inlineStr">
        <is>
          <t>Mode en lifestyle</t>
        </is>
      </c>
      <c r="D45" s="4" t="inlineStr">
        <is>
          <t>Hoeveel centimeter lang is een standaard das bij het strikken?</t>
        </is>
      </c>
      <c r="E45" s="3" t="n">
        <v>145</v>
      </c>
      <c r="F45" s="3" t="inlineStr">
        <is>
          <t>algemeen naslagwerk</t>
        </is>
      </c>
      <c r="G45" s="4" t="inlineStr">
        <is>
          <t>Handmatig opzoeken; geen vaste bron aan te wijzen.</t>
        </is>
      </c>
      <c r="H45" s="3" t="inlineStr"/>
    </row>
    <row r="46">
      <c r="A46" s="3" t="n">
        <v>382</v>
      </c>
      <c r="B46" s="3" t="inlineStr">
        <is>
          <t>puzzel</t>
        </is>
      </c>
      <c r="C46" s="3" t="inlineStr">
        <is>
          <t>Mode en lifestyle</t>
        </is>
      </c>
      <c r="D46" s="4" t="inlineStr">
        <is>
          <t>Hoeveel gaten heeft een standaard schoenveter meestal in één schoen?</t>
        </is>
      </c>
      <c r="E46" s="3" t="n">
        <v>12</v>
      </c>
      <c r="F46" s="3" t="inlineStr">
        <is>
          <t>algemeen naslagwerk</t>
        </is>
      </c>
      <c r="G46" s="4" t="inlineStr">
        <is>
          <t>Handmatig opzoeken; geen vaste bron aan te wijzen.</t>
        </is>
      </c>
      <c r="H46" s="3" t="inlineStr"/>
    </row>
    <row r="47">
      <c r="A47" s="3" t="n">
        <v>384</v>
      </c>
      <c r="B47" s="3" t="inlineStr">
        <is>
          <t>puzzel</t>
        </is>
      </c>
      <c r="C47" s="3" t="inlineStr">
        <is>
          <t>Mode en lifestyle</t>
        </is>
      </c>
      <c r="D47" s="4" t="inlineStr">
        <is>
          <t>Hoeveel millimeter breed is een standaard herenhorlogeband?</t>
        </is>
      </c>
      <c r="E47" s="3" t="n">
        <v>22</v>
      </c>
      <c r="F47" s="3" t="inlineStr">
        <is>
          <t>algemeen naslagwerk</t>
        </is>
      </c>
      <c r="G47" s="4" t="inlineStr">
        <is>
          <t>Handmatig opzoeken; geen vaste bron aan te wijzen.</t>
        </is>
      </c>
      <c r="H47" s="3" t="inlineStr"/>
    </row>
    <row r="48">
      <c r="A48" s="3" t="n">
        <v>386</v>
      </c>
      <c r="B48" s="3" t="inlineStr">
        <is>
          <t>puzzel</t>
        </is>
      </c>
      <c r="C48" s="3" t="inlineStr">
        <is>
          <t>Muziek</t>
        </is>
      </c>
      <c r="D48" s="4" t="inlineStr">
        <is>
          <t>Hoeveel Grammy-nominaties had Beyoncé volgens de Grammy’s vóór de uitreiking van 2025?</t>
        </is>
      </c>
      <c r="E48" s="3" t="n">
        <v>99</v>
      </c>
      <c r="F48" s="3" t="inlineStr">
        <is>
          <t>algemeen naslagwerk</t>
        </is>
      </c>
      <c r="G48" s="4" t="inlineStr">
        <is>
          <t>Handmatig opzoeken; geen vaste bron aan te wijzen.</t>
        </is>
      </c>
      <c r="H48" s="3" t="inlineStr"/>
    </row>
    <row r="49">
      <c r="A49" s="3" t="n">
        <v>400</v>
      </c>
      <c r="B49" s="3" t="inlineStr">
        <is>
          <t>puzzel</t>
        </is>
      </c>
      <c r="C49" s="3" t="inlineStr">
        <is>
          <t>Mode en lifestyle</t>
        </is>
      </c>
      <c r="D49" s="4" t="inlineStr">
        <is>
          <t>Hoeveel facetten (geslepen vlakjes) heeft een standaard ronde briljant geslepen diamant?</t>
        </is>
      </c>
      <c r="E49" s="3" t="n">
        <v>57</v>
      </c>
      <c r="F49" s="3" t="inlineStr">
        <is>
          <t>algemeen naslagwerk</t>
        </is>
      </c>
      <c r="G49" s="4" t="inlineStr">
        <is>
          <t>Handmatig opzoeken; geen vaste bron aan te wijzen.</t>
        </is>
      </c>
      <c r="H49" s="3" t="inlineStr"/>
    </row>
    <row r="50">
      <c r="A50" s="3" t="n">
        <v>401</v>
      </c>
      <c r="B50" s="3" t="inlineStr">
        <is>
          <t>puzzel</t>
        </is>
      </c>
      <c r="C50" s="3" t="inlineStr">
        <is>
          <t>Muziek</t>
        </is>
      </c>
      <c r="D50" s="4" t="inlineStr">
        <is>
          <t>Hoeveel hertz is de toonhoogte van de standaard a in de muziek?</t>
        </is>
      </c>
      <c r="E50" s="3" t="n">
        <v>440</v>
      </c>
      <c r="F50" s="3" t="inlineStr">
        <is>
          <t>algemeen naslagwerk</t>
        </is>
      </c>
      <c r="G50" s="4" t="inlineStr">
        <is>
          <t>Handmatig opzoeken; geen vaste bron aan te wijzen.</t>
        </is>
      </c>
      <c r="H50" s="3" t="inlineStr"/>
    </row>
    <row r="51">
      <c r="A51" s="3" t="n">
        <v>404</v>
      </c>
      <c r="B51" s="3" t="inlineStr">
        <is>
          <t>puzzel</t>
        </is>
      </c>
      <c r="C51" s="3" t="inlineStr">
        <is>
          <t>Natuurkunde</t>
        </is>
      </c>
      <c r="D51" s="4" t="inlineStr">
        <is>
          <t>Hoeveel kilometer per uur waait wind bij windkracht 8 volgens de schaal van Beaufort?</t>
        </is>
      </c>
      <c r="E51" s="3" t="n">
        <v>75</v>
      </c>
      <c r="F51" s="3" t="inlineStr">
        <is>
          <t>algemeen naslagwerk</t>
        </is>
      </c>
      <c r="G51" s="4" t="inlineStr">
        <is>
          <t>Handmatig opzoeken; geen vaste bron aan te wijzen.</t>
        </is>
      </c>
      <c r="H51" s="3" t="inlineStr"/>
    </row>
    <row r="52">
      <c r="A52" s="3" t="n">
        <v>419</v>
      </c>
      <c r="B52" s="3" t="inlineStr">
        <is>
          <t>puzzel</t>
        </is>
      </c>
      <c r="C52" s="3" t="inlineStr">
        <is>
          <t>Technologie</t>
        </is>
      </c>
      <c r="D52" s="4" t="inlineStr">
        <is>
          <t>Hoeveel volt heeft een standaard stopcontact in Nederland?</t>
        </is>
      </c>
      <c r="E52" s="3" t="n">
        <v>230</v>
      </c>
      <c r="F52" s="3" t="inlineStr">
        <is>
          <t>algemeen naslagwerk</t>
        </is>
      </c>
      <c r="G52" s="4" t="inlineStr">
        <is>
          <t>Handmatig opzoeken; geen vaste bron aan te wijzen.</t>
        </is>
      </c>
      <c r="H52" s="3" t="inlineStr"/>
    </row>
    <row r="53">
      <c r="A53" s="3" t="n">
        <v>420</v>
      </c>
      <c r="B53" s="3" t="inlineStr">
        <is>
          <t>puzzel</t>
        </is>
      </c>
      <c r="C53" s="3" t="inlineStr">
        <is>
          <t>Gebouwen en infrastructuur</t>
        </is>
      </c>
      <c r="D53" s="4" t="inlineStr">
        <is>
          <t>Hoeveel wieken heeft een klassieke Nederlandse grondzeiler?</t>
        </is>
      </c>
      <c r="E53" s="3" t="n">
        <v>4</v>
      </c>
      <c r="F53" s="3" t="inlineStr">
        <is>
          <t>algemeen naslagwerk</t>
        </is>
      </c>
      <c r="G53" s="4" t="inlineStr">
        <is>
          <t>Handmatig opzoeken; geen vaste bron aan te wijzen.</t>
        </is>
      </c>
      <c r="H53" s="3" t="inlineStr"/>
    </row>
    <row r="54">
      <c r="A54" s="3" t="n">
        <v>440</v>
      </c>
      <c r="B54" s="3" t="inlineStr">
        <is>
          <t>puzzel</t>
        </is>
      </c>
      <c r="C54" s="3" t="inlineStr">
        <is>
          <t>Records en vergelijkingen</t>
        </is>
      </c>
      <c r="D54" s="4" t="inlineStr">
        <is>
          <t>Hoe lang is de langste levende man in centimeters?</t>
        </is>
      </c>
      <c r="E54" s="3" t="n">
        <v>251</v>
      </c>
      <c r="F54" s="3" t="inlineStr">
        <is>
          <t>algemeen naslagwerk</t>
        </is>
      </c>
      <c r="G54" s="4" t="inlineStr">
        <is>
          <t>Handmatig opzoeken; geen vaste bron aan te wijzen.</t>
        </is>
      </c>
      <c r="H54" s="3" t="inlineStr"/>
    </row>
    <row r="55">
      <c r="A55" s="3" t="n">
        <v>441</v>
      </c>
      <c r="B55" s="3" t="inlineStr">
        <is>
          <t>puzzel</t>
        </is>
      </c>
      <c r="C55" s="3" t="inlineStr">
        <is>
          <t>Records en vergelijkingen</t>
        </is>
      </c>
      <c r="D55" s="4" t="inlineStr">
        <is>
          <t>Hoe lang is de langste levende vrouw in centimeters?</t>
        </is>
      </c>
      <c r="E55" s="3" t="n">
        <v>215</v>
      </c>
      <c r="F55" s="3" t="inlineStr">
        <is>
          <t>algemeen naslagwerk</t>
        </is>
      </c>
      <c r="G55" s="4" t="inlineStr">
        <is>
          <t>Handmatig opzoeken; geen vaste bron aan te wijzen.</t>
        </is>
      </c>
      <c r="H55" s="3" t="inlineStr"/>
    </row>
    <row r="56">
      <c r="A56" s="3" t="n">
        <v>442</v>
      </c>
      <c r="B56" s="3" t="inlineStr">
        <is>
          <t>puzzel</t>
        </is>
      </c>
      <c r="C56" s="3" t="inlineStr">
        <is>
          <t>Records en vergelijkingen</t>
        </is>
      </c>
      <c r="D56" s="4" t="inlineStr">
        <is>
          <t>Hoe lang waren de langste vingernagels aan één hand in meters?</t>
        </is>
      </c>
      <c r="E56" s="3" t="n">
        <v>9</v>
      </c>
      <c r="F56" s="3" t="inlineStr">
        <is>
          <t>algemeen naslagwerk</t>
        </is>
      </c>
      <c r="G56" s="4" t="inlineStr">
        <is>
          <t>Handmatig opzoeken; geen vaste bron aan te wijzen.</t>
        </is>
      </c>
      <c r="H56" s="3" t="inlineStr"/>
    </row>
    <row r="57">
      <c r="A57" s="3" t="n">
        <v>453</v>
      </c>
      <c r="B57" s="3" t="inlineStr">
        <is>
          <t>puzzel</t>
        </is>
      </c>
      <c r="C57" s="3" t="inlineStr">
        <is>
          <t>Records en vergelijkingen</t>
        </is>
      </c>
      <c r="D57" s="4" t="inlineStr">
        <is>
          <t>Hoeveel mensen namen deel aan de grootste massale yogales?</t>
        </is>
      </c>
      <c r="E57" s="3" t="n">
        <v>100000</v>
      </c>
      <c r="F57" s="3" t="inlineStr">
        <is>
          <t>algemeen naslagwerk</t>
        </is>
      </c>
      <c r="G57" s="4" t="inlineStr">
        <is>
          <t>Handmatig opzoeken; geen vaste bron aan te wijzen.</t>
        </is>
      </c>
      <c r="H57" s="3" t="inlineStr"/>
    </row>
    <row r="58">
      <c r="A58" s="3" t="n">
        <v>456</v>
      </c>
      <c r="B58" s="3" t="inlineStr">
        <is>
          <t>puzzel</t>
        </is>
      </c>
      <c r="C58" s="3" t="inlineStr">
        <is>
          <t>Records en vergelijkingen</t>
        </is>
      </c>
      <c r="D58" s="4" t="inlineStr">
        <is>
          <t>Hoeveel uur duurde het langste videogame-marathonrecord?</t>
        </is>
      </c>
      <c r="E58" s="3" t="n">
        <v>135</v>
      </c>
      <c r="F58" s="3" t="inlineStr">
        <is>
          <t>algemeen naslagwerk</t>
        </is>
      </c>
      <c r="G58" s="4" t="inlineStr">
        <is>
          <t>Handmatig opzoeken; geen vaste bron aan te wijzen.</t>
        </is>
      </c>
      <c r="H58" s="3" t="inlineStr"/>
    </row>
    <row r="59">
      <c r="A59" s="3" t="n">
        <v>480</v>
      </c>
      <c r="B59" s="3" t="inlineStr">
        <is>
          <t>puzzel</t>
        </is>
      </c>
      <c r="C59" s="3" t="inlineStr">
        <is>
          <t>Spellen en speelgoed</t>
        </is>
      </c>
      <c r="D59" s="4" t="inlineStr">
        <is>
          <t>Hoeveel genummerde scorevakken heeft een dartbord?</t>
        </is>
      </c>
      <c r="E59" s="3" t="n">
        <v>20</v>
      </c>
      <c r="F59" s="3" t="inlineStr">
        <is>
          <t>algemeen naslagwerk</t>
        </is>
      </c>
      <c r="G59" s="4" t="inlineStr">
        <is>
          <t>Handmatig opzoeken; geen vaste bron aan te wijzen.</t>
        </is>
      </c>
      <c r="H59" s="3" t="inlineStr"/>
    </row>
    <row r="60">
      <c r="A60" s="3" t="n">
        <v>481</v>
      </c>
      <c r="B60" s="3" t="inlineStr">
        <is>
          <t>puzzel</t>
        </is>
      </c>
      <c r="C60" s="3" t="inlineStr">
        <is>
          <t>Spellen en speelgoed</t>
        </is>
      </c>
      <c r="D60" s="4" t="inlineStr">
        <is>
          <t>Hoeveel genummerde vakjes heeft een Europees roulettewiel, inclusief 0?</t>
        </is>
      </c>
      <c r="E60" s="3" t="n">
        <v>37</v>
      </c>
      <c r="F60" s="3" t="inlineStr">
        <is>
          <t>algemeen naslagwerk</t>
        </is>
      </c>
      <c r="G60" s="4" t="inlineStr">
        <is>
          <t>Handmatig opzoeken; geen vaste bron aan te wijzen.</t>
        </is>
      </c>
      <c r="H60" s="3" t="inlineStr"/>
    </row>
    <row r="61">
      <c r="A61" s="3" t="n">
        <v>482</v>
      </c>
      <c r="B61" s="3" t="inlineStr">
        <is>
          <t>puzzel</t>
        </is>
      </c>
      <c r="C61" s="3" t="inlineStr">
        <is>
          <t>Spellen en speelgoed</t>
        </is>
      </c>
      <c r="D61" s="4" t="inlineStr">
        <is>
          <t>Hoeveel kaarten bevat een standaard UNO-deck?</t>
        </is>
      </c>
      <c r="E61" s="3" t="n">
        <v>112</v>
      </c>
      <c r="F61" s="3" t="inlineStr">
        <is>
          <t>algemeen naslagwerk</t>
        </is>
      </c>
      <c r="G61" s="4" t="inlineStr">
        <is>
          <t>Handmatig opzoeken; geen vaste bron aan te wijzen.</t>
        </is>
      </c>
      <c r="H61" s="3" t="inlineStr"/>
    </row>
    <row r="62">
      <c r="A62" s="3" t="n">
        <v>484</v>
      </c>
      <c r="B62" s="3" t="inlineStr">
        <is>
          <t>puzzel</t>
        </is>
      </c>
      <c r="C62" s="3" t="inlineStr">
        <is>
          <t>Spellen en speelgoed</t>
        </is>
      </c>
      <c r="D62" s="4" t="inlineStr">
        <is>
          <t>Hoeveel pionnen bevat een klassieke Monopoly-set volgens de moderne standaarduitvoering?</t>
        </is>
      </c>
      <c r="E62" s="3" t="n">
        <v>8</v>
      </c>
      <c r="F62" s="3" t="inlineStr">
        <is>
          <t>algemeen naslagwerk</t>
        </is>
      </c>
      <c r="G62" s="4" t="inlineStr">
        <is>
          <t>Handmatig opzoeken; geen vaste bron aan te wijzen.</t>
        </is>
      </c>
      <c r="H62" s="3" t="inlineStr"/>
    </row>
    <row r="63">
      <c r="A63" s="3" t="n">
        <v>485</v>
      </c>
      <c r="B63" s="3" t="inlineStr">
        <is>
          <t>puzzel</t>
        </is>
      </c>
      <c r="C63" s="3" t="inlineStr">
        <is>
          <t>Spellen en speelgoed</t>
        </is>
      </c>
      <c r="D63" s="4" t="inlineStr">
        <is>
          <t>Hoeveel pionnen gebruikt iedere speler bij Mens-erger-je-niet?</t>
        </is>
      </c>
      <c r="E63" s="3" t="n">
        <v>4</v>
      </c>
      <c r="F63" s="3" t="inlineStr">
        <is>
          <t>algemeen naslagwerk</t>
        </is>
      </c>
      <c r="G63" s="4" t="inlineStr">
        <is>
          <t>Handmatig opzoeken; geen vaste bron aan te wijzen.</t>
        </is>
      </c>
      <c r="H63" s="3" t="inlineStr"/>
    </row>
    <row r="64">
      <c r="A64" s="3" t="n">
        <v>487</v>
      </c>
      <c r="B64" s="3" t="inlineStr">
        <is>
          <t>puzzel</t>
        </is>
      </c>
      <c r="C64" s="3" t="inlineStr">
        <is>
          <t>Spellen en speelgoed</t>
        </is>
      </c>
      <c r="D64" s="4" t="inlineStr">
        <is>
          <t>Hoeveel stippen (inclusief de 4 grote power pellets) moet Pac-Man opeten om een level uit te spelen?</t>
        </is>
      </c>
      <c r="E64" s="3" t="n">
        <v>244</v>
      </c>
      <c r="F64" s="3" t="inlineStr">
        <is>
          <t>algemeen naslagwerk</t>
        </is>
      </c>
      <c r="G64" s="4" t="inlineStr">
        <is>
          <t>Handmatig opzoeken; geen vaste bron aan te wijzen.</t>
        </is>
      </c>
      <c r="H64" s="3" t="inlineStr"/>
    </row>
    <row r="65">
      <c r="A65" s="3" t="n">
        <v>489</v>
      </c>
      <c r="B65" s="3" t="inlineStr">
        <is>
          <t>puzzel</t>
        </is>
      </c>
      <c r="C65" s="3" t="inlineStr">
        <is>
          <t>Spellen en speelgoed</t>
        </is>
      </c>
      <c r="D65" s="4" t="inlineStr">
        <is>
          <t>Hoeveel straten, stations en nutsbedrijven kun je kopen op een klassiek Monopoly-bord?</t>
        </is>
      </c>
      <c r="E65" s="3" t="n">
        <v>28</v>
      </c>
      <c r="F65" s="3" t="inlineStr">
        <is>
          <t>algemeen naslagwerk</t>
        </is>
      </c>
      <c r="G65" s="4" t="inlineStr">
        <is>
          <t>Handmatig opzoeken; geen vaste bron aan te wijzen.</t>
        </is>
      </c>
      <c r="H65" s="3" t="inlineStr"/>
    </row>
    <row r="66">
      <c r="A66" s="3" t="n">
        <v>491</v>
      </c>
      <c r="B66" s="3" t="inlineStr">
        <is>
          <t>puzzel</t>
        </is>
      </c>
      <c r="C66" s="3" t="inlineStr">
        <is>
          <t>Spellen en speelgoed</t>
        </is>
      </c>
      <c r="D66" s="4" t="inlineStr">
        <is>
          <t>Hoeveel vakjes heeft een standaard Mens-erger-je-niet-bord per spelerskleur?</t>
        </is>
      </c>
      <c r="E66" s="3" t="n">
        <v>40</v>
      </c>
      <c r="F66" s="3" t="inlineStr">
        <is>
          <t>algemeen naslagwerk</t>
        </is>
      </c>
      <c r="G66" s="4" t="inlineStr">
        <is>
          <t>Handmatig opzoeken; geen vaste bron aan te wijzen.</t>
        </is>
      </c>
      <c r="H66" s="3" t="inlineStr"/>
    </row>
    <row r="67">
      <c r="A67" s="3" t="n">
        <v>493</v>
      </c>
      <c r="B67" s="3" t="inlineStr">
        <is>
          <t>puzzel</t>
        </is>
      </c>
      <c r="C67" s="3" t="inlineStr">
        <is>
          <t>Spellen en speelgoed</t>
        </is>
      </c>
      <c r="D67" s="4" t="inlineStr">
        <is>
          <t>Hoeveel vakken bevat een standaard Monopoly-bord in totaal?</t>
        </is>
      </c>
      <c r="E67" s="3" t="n">
        <v>40</v>
      </c>
      <c r="F67" s="3" t="inlineStr">
        <is>
          <t>algemeen naslagwerk</t>
        </is>
      </c>
      <c r="G67" s="4" t="inlineStr">
        <is>
          <t>Handmatig opzoeken; geen vaste bron aan te wijzen.</t>
        </is>
      </c>
      <c r="H67" s="3" t="inlineStr"/>
    </row>
    <row r="68">
      <c r="A68" s="3" t="n">
        <v>544</v>
      </c>
      <c r="B68" s="3" t="inlineStr">
        <is>
          <t>puzzel</t>
        </is>
      </c>
      <c r="C68" s="3" t="inlineStr">
        <is>
          <t>Taal</t>
        </is>
      </c>
      <c r="D68" s="4" t="inlineStr">
        <is>
          <t>Hoeveel letters telt het officiële Hawaiiaanse alfabet?</t>
        </is>
      </c>
      <c r="E68" s="3" t="n">
        <v>13</v>
      </c>
      <c r="F68" s="3" t="inlineStr">
        <is>
          <t>algemeen naslagwerk</t>
        </is>
      </c>
      <c r="G68" s="4" t="inlineStr">
        <is>
          <t>Handmatig opzoeken; geen vaste bron aan te wijzen.</t>
        </is>
      </c>
      <c r="H68" s="3" t="inlineStr"/>
    </row>
    <row r="69">
      <c r="A69" s="3" t="n">
        <v>550</v>
      </c>
      <c r="B69" s="3" t="inlineStr">
        <is>
          <t>puzzel</t>
        </is>
      </c>
      <c r="C69" s="3" t="inlineStr">
        <is>
          <t>Technologie</t>
        </is>
      </c>
      <c r="D69" s="4" t="inlineStr">
        <is>
          <t>Hoeveel watt laadt een standaard iPhone snellader?</t>
        </is>
      </c>
      <c r="E69" s="3" t="n">
        <v>20</v>
      </c>
      <c r="F69" s="3" t="inlineStr">
        <is>
          <t>algemeen naslagwerk</t>
        </is>
      </c>
      <c r="G69" s="4" t="inlineStr">
        <is>
          <t>Handmatig opzoeken; geen vaste bron aan te wijzen.</t>
        </is>
      </c>
      <c r="H69" s="3" t="inlineStr"/>
    </row>
    <row r="70">
      <c r="A70" s="3" t="n">
        <v>595</v>
      </c>
      <c r="B70" s="3" t="inlineStr">
        <is>
          <t>puzzel</t>
        </is>
      </c>
      <c r="C70" s="3" t="inlineStr">
        <is>
          <t>Wiskunde</t>
        </is>
      </c>
      <c r="D70" s="4" t="inlineStr">
        <is>
          <t>Hoeveel graden is elke binnenhoek van een regelmatige vijfhoek?</t>
        </is>
      </c>
      <c r="E70" s="3" t="n">
        <v>108</v>
      </c>
      <c r="F70" s="3" t="inlineStr">
        <is>
          <t>algemeen naslagwerk</t>
        </is>
      </c>
      <c r="G70" s="4" t="inlineStr">
        <is>
          <t>Handmatig opzoeken; geen vaste bron aan te wijzen.</t>
        </is>
      </c>
      <c r="H70" s="3" t="inlineStr"/>
    </row>
    <row r="71">
      <c r="A71" s="3" t="n">
        <v>74</v>
      </c>
      <c r="B71" s="3" t="inlineStr">
        <is>
          <t>daily</t>
        </is>
      </c>
      <c r="C71" s="3" t="inlineStr">
        <is>
          <t>Spellen en speelgoed</t>
        </is>
      </c>
      <c r="D71" s="4" t="inlineStr">
        <is>
          <t>Hoeveel LEGO-steentjes worden er wereldwijd per seconde gemaakt?</t>
        </is>
      </c>
      <c r="E71" s="3" t="n">
        <v>1300</v>
      </c>
      <c r="F71" s="3" t="inlineStr">
        <is>
          <t>bedrijfscijfer</t>
        </is>
      </c>
      <c r="G71" s="4" t="inlineStr">
        <is>
          <t>Jaarverslag of persmap van het bedrijf zelf.</t>
        </is>
      </c>
      <c r="H71" s="3" t="inlineStr"/>
    </row>
    <row r="72">
      <c r="A72" s="3" t="n">
        <v>546</v>
      </c>
      <c r="B72" s="3" t="inlineStr">
        <is>
          <t>puzzel</t>
        </is>
      </c>
      <c r="C72" s="3" t="inlineStr">
        <is>
          <t>Technologie</t>
        </is>
      </c>
      <c r="D72" s="4" t="inlineStr">
        <is>
          <t>Hoeveel duizend zoekopdrachten verwerkt Google wereldwijd per seconde?</t>
        </is>
      </c>
      <c r="E72" s="3" t="n">
        <v>99</v>
      </c>
      <c r="F72" s="3" t="inlineStr">
        <is>
          <t>bedrijfscijfer</t>
        </is>
      </c>
      <c r="G72" s="4" t="inlineStr">
        <is>
          <t>Jaarverslag of persmap van het bedrijf zelf.</t>
        </is>
      </c>
      <c r="H72" s="3" t="inlineStr"/>
    </row>
    <row r="73">
      <c r="A73" s="3" t="n">
        <v>156</v>
      </c>
      <c r="B73" s="3" t="inlineStr">
        <is>
          <t>puzzel</t>
        </is>
      </c>
      <c r="C73" s="3" t="inlineStr">
        <is>
          <t>Dieren</t>
        </is>
      </c>
      <c r="D73" s="4" t="inlineStr">
        <is>
          <t>Hoeveel kilometer diep kan de potvis duiken?</t>
        </is>
      </c>
      <c r="E73" s="3" t="n">
        <v>2000</v>
      </c>
      <c r="F73" s="3" t="inlineStr">
        <is>
          <t>natuurgegevens</t>
        </is>
      </c>
      <c r="G73" s="4" t="inlineStr">
        <is>
          <t>IUCN Red List, of een naslagwerk als de Encyclopedia of Life.</t>
        </is>
      </c>
      <c r="H73" s="3" t="inlineStr"/>
    </row>
    <row r="74">
      <c r="A74" s="3" t="n">
        <v>157</v>
      </c>
      <c r="B74" s="3" t="inlineStr">
        <is>
          <t>puzzel</t>
        </is>
      </c>
      <c r="C74" s="3" t="inlineStr">
        <is>
          <t>Dieren</t>
        </is>
      </c>
      <c r="D74" s="4" t="inlineStr">
        <is>
          <t>Hoeveel kilometer legt de Noordse stern jaarlijks trekafstand af?</t>
        </is>
      </c>
      <c r="E74" s="3" t="n">
        <v>70000</v>
      </c>
      <c r="F74" s="3" t="inlineStr">
        <is>
          <t>natuurgegevens</t>
        </is>
      </c>
      <c r="G74" s="4" t="inlineStr">
        <is>
          <t>IUCN Red List, of een naslagwerk als de Encyclopedia of Life.</t>
        </is>
      </c>
      <c r="H74" s="3" t="inlineStr"/>
    </row>
    <row r="75">
      <c r="A75" s="3" t="n">
        <v>147</v>
      </c>
      <c r="B75" s="3" t="inlineStr">
        <is>
          <t>puzzel</t>
        </is>
      </c>
      <c r="C75" s="3" t="inlineStr">
        <is>
          <t>Biologie &amp; gezondheid</t>
        </is>
      </c>
      <c r="D75" s="4" t="inlineStr">
        <is>
          <t>Hoeveel stappen per dag is de vaak geciteerde streefwaarde?</t>
        </is>
      </c>
      <c r="E75" s="3" t="n">
        <v>10000</v>
      </c>
      <c r="F75" s="3" t="inlineStr">
        <is>
          <t>praktijkkennis — bron twijfelachtig</t>
        </is>
      </c>
      <c r="G75" s="4" t="inlineStr">
        <is>
          <t>Er is geen gezaghebbende bron; dit is een vuistregel. Overweeg te schrappen.</t>
        </is>
      </c>
      <c r="H75" s="3" t="inlineStr"/>
    </row>
    <row r="76">
      <c r="A76" s="3" t="n">
        <v>188</v>
      </c>
      <c r="B76" s="3" t="inlineStr">
        <is>
          <t>puzzel</t>
        </is>
      </c>
      <c r="C76" s="3" t="inlineStr">
        <is>
          <t>Eten &amp; drinken</t>
        </is>
      </c>
      <c r="D76" s="4" t="inlineStr">
        <is>
          <t>Hoeveel minuten kook je een ei voor een zacht gekookt ei?</t>
        </is>
      </c>
      <c r="E76" s="3" t="n">
        <v>6</v>
      </c>
      <c r="F76" s="3" t="inlineStr">
        <is>
          <t>praktijkkennis — bron twijfelachtig</t>
        </is>
      </c>
      <c r="G76" s="4" t="inlineStr">
        <is>
          <t>Er is geen gezaghebbende bron; dit is een vuistregel. Overweeg te schrappen.</t>
        </is>
      </c>
      <c r="H76" s="3" t="inlineStr"/>
    </row>
    <row r="77">
      <c r="A77" s="3" t="n">
        <v>104</v>
      </c>
      <c r="B77" s="3" t="inlineStr">
        <is>
          <t>daily</t>
        </is>
      </c>
      <c r="C77" s="3" t="inlineStr">
        <is>
          <t>Wiskunde</t>
        </is>
      </c>
      <c r="D77" s="4" t="inlineStr">
        <is>
          <t>Hoeveel is de som van de getallen 1 tot en met 100?</t>
        </is>
      </c>
      <c r="E77" s="3" t="n">
        <v>5050</v>
      </c>
      <c r="F77" s="3" t="inlineStr">
        <is>
          <t>rekensom — geen bron mogelijk</t>
        </is>
      </c>
      <c r="G77" s="4" t="inlineStr">
        <is>
          <t>Dit is een berekening, geen feit. Een bron bestaat niet en is niet nodig.</t>
        </is>
      </c>
      <c r="H77" s="3" t="inlineStr"/>
    </row>
    <row r="78">
      <c r="A78" s="3" t="n">
        <v>105</v>
      </c>
      <c r="B78" s="3" t="inlineStr">
        <is>
          <t>daily</t>
        </is>
      </c>
      <c r="C78" s="3" t="inlineStr">
        <is>
          <t>Wiskunde</t>
        </is>
      </c>
      <c r="D78" s="4" t="inlineStr">
        <is>
          <t>Hoeveel manieren kun je 3 renners op een podium van 8 deelnemers indelen?</t>
        </is>
      </c>
      <c r="E78" s="3" t="n">
        <v>336</v>
      </c>
      <c r="F78" s="3" t="inlineStr">
        <is>
          <t>rekensom — geen bron mogelijk</t>
        </is>
      </c>
      <c r="G78" s="4" t="inlineStr">
        <is>
          <t>Dit is een berekening, geen feit. Een bron bestaat niet en is niet nodig.</t>
        </is>
      </c>
      <c r="H78" s="3" t="inlineStr"/>
    </row>
    <row r="79">
      <c r="A79" s="3" t="n">
        <v>599</v>
      </c>
      <c r="B79" s="3" t="inlineStr">
        <is>
          <t>puzzel</t>
        </is>
      </c>
      <c r="C79" s="3" t="inlineStr">
        <is>
          <t>Wiskunde</t>
        </is>
      </c>
      <c r="D79" s="4" t="inlineStr">
        <is>
          <t>Hoeveel zijden heeft een icosaeder?</t>
        </is>
      </c>
      <c r="E79" s="3" t="n">
        <v>20</v>
      </c>
      <c r="F79" s="3" t="inlineStr">
        <is>
          <t>rekensom — geen bron mogelijk</t>
        </is>
      </c>
      <c r="G79" s="4" t="inlineStr">
        <is>
          <t>Dit is een berekening, geen feit. Een bron bestaat niet en is niet nodig.</t>
        </is>
      </c>
      <c r="H79" s="3" t="inlineStr"/>
    </row>
    <row r="80">
      <c r="A80" s="3" t="n">
        <v>506</v>
      </c>
      <c r="B80" s="3" t="inlineStr">
        <is>
          <t>puzzel</t>
        </is>
      </c>
      <c r="C80" s="3" t="inlineStr">
        <is>
          <t>Sport</t>
        </is>
      </c>
      <c r="D80" s="4" t="inlineStr">
        <is>
          <t>Hoeveel spelers telt een cricketteam op het veld?</t>
        </is>
      </c>
      <c r="E80" s="3" t="n">
        <v>11</v>
      </c>
      <c r="F80" s="3" t="inlineStr">
        <is>
          <t>sportbond of competitie</t>
        </is>
      </c>
      <c r="G80" s="4" t="inlineStr">
        <is>
          <t>Het reglement van de bond (FIFA, NBA, UCI, World Rugby).</t>
        </is>
      </c>
      <c r="H80" s="3" t="inlineStr"/>
    </row>
    <row r="81">
      <c r="A81" s="3" t="n">
        <v>507</v>
      </c>
      <c r="B81" s="3" t="inlineStr">
        <is>
          <t>puzzel</t>
        </is>
      </c>
      <c r="C81" s="3" t="inlineStr">
        <is>
          <t>Sport</t>
        </is>
      </c>
      <c r="D81" s="4" t="inlineStr">
        <is>
          <t>Hoeveel spelers telt een waterpoloteam in het water?</t>
        </is>
      </c>
      <c r="E81" s="3" t="n">
        <v>7</v>
      </c>
      <c r="F81" s="3" t="inlineStr">
        <is>
          <t>sportbond of competitie</t>
        </is>
      </c>
      <c r="G81" s="4" t="inlineStr">
        <is>
          <t>Het reglement van de bond (FIFA, NBA, UCI, World Rugby).</t>
        </is>
      </c>
      <c r="H81" s="3" t="inlineStr"/>
    </row>
    <row r="82">
      <c r="A82" s="3" t="n">
        <v>187</v>
      </c>
      <c r="B82" s="3" t="inlineStr">
        <is>
          <t>puzzel</t>
        </is>
      </c>
      <c r="C82" s="3" t="inlineStr">
        <is>
          <t>Eten &amp; drinken</t>
        </is>
      </c>
      <c r="D82" s="4" t="inlineStr">
        <is>
          <t>Hoeveel kcal heeft een middelgroot ei?</t>
        </is>
      </c>
      <c r="E82" s="3" t="n">
        <v>70</v>
      </c>
      <c r="F82" s="3" t="inlineStr">
        <is>
          <t>voedingswaarde</t>
        </is>
      </c>
      <c r="G82" s="4" t="inlineStr">
        <is>
          <t>Voedingscentrum (NL) of de USDA FoodData Central (internationaal).</t>
        </is>
      </c>
      <c r="H82" s="3" t="inlineStr"/>
    </row>
    <row r="83">
      <c r="A83" s="3" t="n">
        <v>1228</v>
      </c>
      <c r="B83" s="3" t="inlineStr">
        <is>
          <t>—</t>
        </is>
      </c>
      <c r="C83" s="3" t="inlineStr">
        <is>
          <t>Dagelijks leven</t>
        </is>
      </c>
      <c r="D83" s="4" t="inlineStr">
        <is>
          <t>Hoeveel procent van de Nederlanders woont in een rijtjeshuis?</t>
        </is>
      </c>
      <c r="E83" s="3" t="n">
        <v>30</v>
      </c>
      <c r="F83" s="3" t="inlineStr">
        <is>
          <t>CBS of nationaal statistiekbureau</t>
        </is>
      </c>
      <c r="G83" s="4" t="inlineStr">
        <is>
          <t>CBS StatLine — deze cijfers staan niet op Wikipedia.</t>
        </is>
      </c>
      <c r="H83" s="3" t="inlineStr"/>
    </row>
    <row r="84">
      <c r="A84" s="3" t="n">
        <v>1229</v>
      </c>
      <c r="B84" s="3" t="inlineStr">
        <is>
          <t>—</t>
        </is>
      </c>
      <c r="C84" s="3" t="inlineStr">
        <is>
          <t>Vervoer</t>
        </is>
      </c>
      <c r="D84" s="4" t="inlineStr">
        <is>
          <t>Hoeveel procent van de Nederlanders fietst dagelijks?</t>
        </is>
      </c>
      <c r="E84" s="3" t="n">
        <v>60</v>
      </c>
      <c r="F84" s="3" t="inlineStr">
        <is>
          <t>CBS of nationaal statistiekbureau</t>
        </is>
      </c>
      <c r="G84" s="4" t="inlineStr">
        <is>
          <t>CBS StatLine — deze cijfers staan niet op Wikipedia.</t>
        </is>
      </c>
      <c r="H84" s="3" t="inlineStr"/>
    </row>
    <row r="85">
      <c r="A85" s="3" t="n">
        <v>1231</v>
      </c>
      <c r="B85" s="3" t="inlineStr">
        <is>
          <t>—</t>
        </is>
      </c>
      <c r="C85" s="3" t="inlineStr">
        <is>
          <t>Geografie</t>
        </is>
      </c>
      <c r="D85" s="4" t="inlineStr">
        <is>
          <t>Hoeveel procent van de Nederlanders woont in de Randstad?</t>
        </is>
      </c>
      <c r="E85" s="3" t="n">
        <v>40</v>
      </c>
      <c r="F85" s="3" t="inlineStr">
        <is>
          <t>CBS of nationaal statistiekbureau</t>
        </is>
      </c>
      <c r="G85" s="4" t="inlineStr">
        <is>
          <t>CBS StatLine — deze cijfers staan niet op Wikipedia.</t>
        </is>
      </c>
      <c r="H85" s="3" t="inlineStr"/>
    </row>
    <row r="86">
      <c r="A86" s="3" t="n">
        <v>1298</v>
      </c>
      <c r="B86" s="3" t="inlineStr">
        <is>
          <t>—</t>
        </is>
      </c>
      <c r="C86" s="3" t="inlineStr">
        <is>
          <t>Records en vergelijkingen</t>
        </is>
      </c>
      <c r="D86" s="4" t="inlineStr">
        <is>
          <t>Hoe hoog was de hoogste robot ooit gebouwd in meters?</t>
        </is>
      </c>
      <c r="E86" s="3" t="n">
        <v>18</v>
      </c>
      <c r="F86" s="3" t="inlineStr">
        <is>
          <t>Guinness World Records</t>
        </is>
      </c>
      <c r="G86" s="4" t="inlineStr">
        <is>
          <t>guinnessworldrecords.com — records staan niet op Wikipedia.</t>
        </is>
      </c>
      <c r="H86" s="3" t="inlineStr"/>
    </row>
    <row r="87">
      <c r="A87" s="3" t="n">
        <v>1299</v>
      </c>
      <c r="B87" s="3" t="inlineStr">
        <is>
          <t>—</t>
        </is>
      </c>
      <c r="C87" s="3" t="inlineStr">
        <is>
          <t>Records en vergelijkingen</t>
        </is>
      </c>
      <c r="D87" s="4" t="inlineStr">
        <is>
          <t>Hoe lang was de langste baard ooit in meters?</t>
        </is>
      </c>
      <c r="E87" s="3" t="n">
        <v>5</v>
      </c>
      <c r="F87" s="3" t="inlineStr">
        <is>
          <t>Guinness World Records</t>
        </is>
      </c>
      <c r="G87" s="4" t="inlineStr">
        <is>
          <t>guinnessworldrecords.com — records staan niet op Wikipedia.</t>
        </is>
      </c>
      <c r="H87" s="3" t="inlineStr"/>
    </row>
    <row r="88">
      <c r="A88" s="3" t="n">
        <v>1300</v>
      </c>
      <c r="B88" s="3" t="inlineStr">
        <is>
          <t>—</t>
        </is>
      </c>
      <c r="C88" s="3" t="inlineStr">
        <is>
          <t>Records en vergelijkingen</t>
        </is>
      </c>
      <c r="D88" s="4" t="inlineStr">
        <is>
          <t>Hoe lang was de langste man ooit in centimeters?</t>
        </is>
      </c>
      <c r="E88" s="3" t="n">
        <v>272</v>
      </c>
      <c r="F88" s="3" t="inlineStr">
        <is>
          <t>Guinness World Records</t>
        </is>
      </c>
      <c r="G88" s="4" t="inlineStr">
        <is>
          <t>guinnessworldrecords.com — records staan niet op Wikipedia.</t>
        </is>
      </c>
      <c r="H88" s="3" t="inlineStr"/>
    </row>
    <row r="89">
      <c r="A89" s="3" t="n">
        <v>1302</v>
      </c>
      <c r="B89" s="3" t="inlineStr">
        <is>
          <t>—</t>
        </is>
      </c>
      <c r="C89" s="3" t="inlineStr">
        <is>
          <t>Records en vergelijkingen</t>
        </is>
      </c>
      <c r="D89" s="4" t="inlineStr">
        <is>
          <t>Hoe lang was de langste taart ooit in kilometer?</t>
        </is>
      </c>
      <c r="E89" s="3" t="n">
        <v>10</v>
      </c>
      <c r="F89" s="3" t="inlineStr">
        <is>
          <t>Guinness World Records</t>
        </is>
      </c>
      <c r="G89" s="4" t="inlineStr">
        <is>
          <t>guinnessworldrecords.com — records staan niet op Wikipedia.</t>
        </is>
      </c>
      <c r="H89" s="3" t="inlineStr"/>
    </row>
    <row r="90">
      <c r="A90" s="3" t="n">
        <v>1303</v>
      </c>
      <c r="B90" s="3" t="inlineStr">
        <is>
          <t>—</t>
        </is>
      </c>
      <c r="C90" s="3" t="inlineStr">
        <is>
          <t>Records en vergelijkingen</t>
        </is>
      </c>
      <c r="D90" s="4" t="inlineStr">
        <is>
          <t>Hoe lang was de langste trein ooit in kilometers?</t>
        </is>
      </c>
      <c r="E90" s="3" t="n">
        <v>7</v>
      </c>
      <c r="F90" s="3" t="inlineStr">
        <is>
          <t>Guinness World Records</t>
        </is>
      </c>
      <c r="G90" s="4" t="inlineStr">
        <is>
          <t>guinnessworldrecords.com — records staan niet op Wikipedia.</t>
        </is>
      </c>
      <c r="H90" s="3" t="inlineStr"/>
    </row>
    <row r="91">
      <c r="A91" s="3" t="n">
        <v>1304</v>
      </c>
      <c r="B91" s="3" t="inlineStr">
        <is>
          <t>—</t>
        </is>
      </c>
      <c r="C91" s="3" t="inlineStr">
        <is>
          <t>Records en vergelijkingen</t>
        </is>
      </c>
      <c r="D91" s="4" t="inlineStr">
        <is>
          <t>Hoe lang was de langste trouwjurkstaart ooit in meters?</t>
        </is>
      </c>
      <c r="E91" s="3" t="n">
        <v>8095</v>
      </c>
      <c r="F91" s="3" t="inlineStr">
        <is>
          <t>Guinness World Records</t>
        </is>
      </c>
      <c r="G91" s="4" t="inlineStr">
        <is>
          <t>guinnessworldrecords.com — records staan niet op Wikipedia.</t>
        </is>
      </c>
      <c r="H91" s="3" t="inlineStr"/>
    </row>
    <row r="92">
      <c r="A92" s="3" t="n">
        <v>1305</v>
      </c>
      <c r="B92" s="3" t="inlineStr">
        <is>
          <t>—</t>
        </is>
      </c>
      <c r="C92" s="3" t="inlineStr">
        <is>
          <t>Records en vergelijkingen</t>
        </is>
      </c>
      <c r="D92" s="4" t="inlineStr">
        <is>
          <t>Hoe lang was het langste haar ooit in meters?</t>
        </is>
      </c>
      <c r="E92" s="3" t="n">
        <v>6</v>
      </c>
      <c r="F92" s="3" t="inlineStr">
        <is>
          <t>Guinness World Records</t>
        </is>
      </c>
      <c r="G92" s="4" t="inlineStr">
        <is>
          <t>guinnessworldrecords.com — records staan niet op Wikipedia.</t>
        </is>
      </c>
      <c r="H92" s="3" t="inlineStr"/>
    </row>
    <row r="93">
      <c r="A93" s="3" t="n">
        <v>1306</v>
      </c>
      <c r="B93" s="3" t="inlineStr">
        <is>
          <t>—</t>
        </is>
      </c>
      <c r="C93" s="3" t="inlineStr">
        <is>
          <t>Records en vergelijkingen</t>
        </is>
      </c>
      <c r="D93" s="4" t="inlineStr">
        <is>
          <t>Hoe oud werd de oudste kat ooit in jaren?</t>
        </is>
      </c>
      <c r="E93" s="3" t="n">
        <v>38</v>
      </c>
      <c r="F93" s="3" t="inlineStr">
        <is>
          <t>Guinness World Records</t>
        </is>
      </c>
      <c r="G93" s="4" t="inlineStr">
        <is>
          <t>guinnessworldrecords.com — records staan niet op Wikipedia.</t>
        </is>
      </c>
      <c r="H93" s="3" t="inlineStr"/>
    </row>
    <row r="94">
      <c r="A94" s="3" t="n">
        <v>1307</v>
      </c>
      <c r="B94" s="3" t="inlineStr">
        <is>
          <t>—</t>
        </is>
      </c>
      <c r="C94" s="3" t="inlineStr">
        <is>
          <t>Records en vergelijkingen</t>
        </is>
      </c>
      <c r="D94" s="4" t="inlineStr">
        <is>
          <t>Hoe zwaar was de grootste chocoladereep ooit in kilogram?</t>
        </is>
      </c>
      <c r="E94" s="3" t="n">
        <v>13696</v>
      </c>
      <c r="F94" s="3" t="inlineStr">
        <is>
          <t>Guinness World Records</t>
        </is>
      </c>
      <c r="G94" s="4" t="inlineStr">
        <is>
          <t>guinnessworldrecords.com — records staan niet op Wikipedia.</t>
        </is>
      </c>
      <c r="H94" s="3" t="inlineStr"/>
    </row>
    <row r="95">
      <c r="A95" s="3" t="n">
        <v>1308</v>
      </c>
      <c r="B95" s="3" t="inlineStr">
        <is>
          <t>—</t>
        </is>
      </c>
      <c r="C95" s="3" t="inlineStr">
        <is>
          <t>Records en vergelijkingen</t>
        </is>
      </c>
      <c r="D95" s="4" t="inlineStr">
        <is>
          <t>Hoe zwaar was de grootste portie friet ooit in kilogram?</t>
        </is>
      </c>
      <c r="E95" s="3" t="n">
        <v>1000</v>
      </c>
      <c r="F95" s="3" t="inlineStr">
        <is>
          <t>Guinness World Records</t>
        </is>
      </c>
      <c r="G95" s="4" t="inlineStr">
        <is>
          <t>guinnessworldrecords.com — records staan niet op Wikipedia.</t>
        </is>
      </c>
      <c r="H95" s="3" t="inlineStr"/>
    </row>
    <row r="96">
      <c r="A96" s="3" t="n">
        <v>1309</v>
      </c>
      <c r="B96" s="3" t="inlineStr">
        <is>
          <t>—</t>
        </is>
      </c>
      <c r="C96" s="3" t="inlineStr">
        <is>
          <t>Records en vergelijkingen</t>
        </is>
      </c>
      <c r="D96" s="4" t="inlineStr">
        <is>
          <t>Hoe zwaar was de zwaarste schildpad ooit in kilogram?</t>
        </is>
      </c>
      <c r="E96" s="3" t="n">
        <v>916</v>
      </c>
      <c r="F96" s="3" t="inlineStr">
        <is>
          <t>Guinness World Records</t>
        </is>
      </c>
      <c r="G96" s="4" t="inlineStr">
        <is>
          <t>guinnessworldrecords.com — records staan niet op Wikipedia.</t>
        </is>
      </c>
      <c r="H96" s="3" t="inlineStr"/>
    </row>
    <row r="97">
      <c r="A97" s="3" t="n">
        <v>1312</v>
      </c>
      <c r="B97" s="3" t="inlineStr">
        <is>
          <t>—</t>
        </is>
      </c>
      <c r="C97" s="3" t="inlineStr">
        <is>
          <t>Records en vergelijkingen</t>
        </is>
      </c>
      <c r="D97" s="4" t="inlineStr">
        <is>
          <t>Hoeveel liter soep bevatte de grootste kom soep ooit?</t>
        </is>
      </c>
      <c r="E97" s="3" t="n">
        <v>20000</v>
      </c>
      <c r="F97" s="3" t="inlineStr">
        <is>
          <t>Guinness World Records</t>
        </is>
      </c>
      <c r="G97" s="4" t="inlineStr">
        <is>
          <t>guinnessworldrecords.com — records staan niet op Wikipedia.</t>
        </is>
      </c>
      <c r="H97" s="3" t="inlineStr"/>
    </row>
    <row r="98">
      <c r="A98" s="3" t="n">
        <v>1313</v>
      </c>
      <c r="B98" s="3" t="inlineStr">
        <is>
          <t>—</t>
        </is>
      </c>
      <c r="C98" s="3" t="inlineStr">
        <is>
          <t>Records en vergelijkingen</t>
        </is>
      </c>
      <c r="D98" s="4" t="inlineStr">
        <is>
          <t>Hoeveel mensen deden mee aan het grootste waterballonnengevecht ooit?</t>
        </is>
      </c>
      <c r="E98" s="3" t="n">
        <v>8000</v>
      </c>
      <c r="F98" s="3" t="inlineStr">
        <is>
          <t>Guinness World Records</t>
        </is>
      </c>
      <c r="G98" s="4" t="inlineStr">
        <is>
          <t>guinnessworldrecords.com — records staan niet op Wikipedia.</t>
        </is>
      </c>
      <c r="H98" s="3" t="inlineStr"/>
    </row>
    <row r="99">
      <c r="A99" s="3" t="n">
        <v>1314</v>
      </c>
      <c r="B99" s="3" t="inlineStr">
        <is>
          <t>—</t>
        </is>
      </c>
      <c r="C99" s="3" t="inlineStr">
        <is>
          <t>Records en vergelijkingen</t>
        </is>
      </c>
      <c r="D99" s="4" t="inlineStr">
        <is>
          <t>Hoeveel push-ups werden er in 24 uur uitgevoerd bij het huidige record?</t>
        </is>
      </c>
      <c r="E99" s="3" t="n">
        <v>46000</v>
      </c>
      <c r="F99" s="3" t="inlineStr">
        <is>
          <t>Guinness World Records</t>
        </is>
      </c>
      <c r="G99" s="4" t="inlineStr">
        <is>
          <t>guinnessworldrecords.com — records staan niet op Wikipedia.</t>
        </is>
      </c>
      <c r="H99" s="3" t="inlineStr"/>
    </row>
    <row r="100">
      <c r="A100" s="3" t="n">
        <v>1315</v>
      </c>
      <c r="B100" s="3" t="inlineStr">
        <is>
          <t>—</t>
        </is>
      </c>
      <c r="C100" s="3" t="inlineStr">
        <is>
          <t>Records en vergelijkingen</t>
        </is>
      </c>
      <c r="D100" s="4" t="inlineStr">
        <is>
          <t>Hoeveel wagons had de langste passagierstrein ooit?</t>
        </is>
      </c>
      <c r="E100" s="3" t="n">
        <v>100</v>
      </c>
      <c r="F100" s="3" t="inlineStr">
        <is>
          <t>Guinness World Records</t>
        </is>
      </c>
      <c r="G100" s="4" t="inlineStr">
        <is>
          <t>guinnessworldrecords.com — records staan niet op Wikipedia.</t>
        </is>
      </c>
      <c r="H100" s="3" t="inlineStr"/>
    </row>
    <row r="101">
      <c r="A101" s="3" t="n">
        <v>1435</v>
      </c>
      <c r="B101" s="3" t="inlineStr">
        <is>
          <t>—</t>
        </is>
      </c>
      <c r="C101" s="3" t="inlineStr">
        <is>
          <t>Sterrenkunde &amp; ruimte</t>
        </is>
      </c>
      <c r="D101" s="4" t="inlineStr">
        <is>
          <t>Hoeveel satellieten lanceerde India in één enkele raket als record (2017)?</t>
        </is>
      </c>
      <c r="E101" s="3" t="n">
        <v>104</v>
      </c>
      <c r="F101" s="3" t="inlineStr">
        <is>
          <t>Guinness World Records</t>
        </is>
      </c>
      <c r="G101" s="4" t="inlineStr">
        <is>
          <t>guinnessworldrecords.com — records staan niet op Wikipedia.</t>
        </is>
      </c>
      <c r="H101" s="3" t="inlineStr"/>
    </row>
    <row r="102">
      <c r="A102" s="3" t="n">
        <v>601</v>
      </c>
      <c r="B102" s="3" t="inlineStr">
        <is>
          <t>—</t>
        </is>
      </c>
      <c r="C102" s="3" t="inlineStr">
        <is>
          <t>Biologie &amp; gezondheid</t>
        </is>
      </c>
      <c r="D102" s="4" t="inlineStr">
        <is>
          <t>Hoeveel basissmaken worden in de moderne smaakleer onderscheiden?</t>
        </is>
      </c>
      <c r="E102" s="3" t="n">
        <v>5</v>
      </c>
      <c r="F102" s="3" t="inlineStr">
        <is>
          <t>algemeen naslagwerk</t>
        </is>
      </c>
      <c r="G102" s="4" t="inlineStr">
        <is>
          <t>Handmatig opzoeken; geen vaste bron aan te wijzen.</t>
        </is>
      </c>
      <c r="H102" s="3" t="inlineStr"/>
    </row>
    <row r="103">
      <c r="A103" s="3" t="n">
        <v>633</v>
      </c>
      <c r="B103" s="3" t="inlineStr">
        <is>
          <t>—</t>
        </is>
      </c>
      <c r="C103" s="3" t="inlineStr">
        <is>
          <t>Landbouw en industrie</t>
        </is>
      </c>
      <c r="D103" s="4" t="inlineStr">
        <is>
          <t>Hoeveel bijenkorven produceert de gemiddelde Ethiopische bijenhouder per jaar?</t>
        </is>
      </c>
      <c r="E103" s="3" t="n">
        <v>0</v>
      </c>
      <c r="F103" s="3" t="inlineStr">
        <is>
          <t>algemeen naslagwerk</t>
        </is>
      </c>
      <c r="G103" s="4" t="inlineStr">
        <is>
          <t>Handmatig opzoeken; geen vaste bron aan te wijzen.</t>
        </is>
      </c>
      <c r="H103" s="3" t="inlineStr"/>
    </row>
    <row r="104">
      <c r="A104" s="3" t="n">
        <v>635</v>
      </c>
      <c r="B104" s="3" t="inlineStr">
        <is>
          <t>—</t>
        </is>
      </c>
      <c r="C104" s="3" t="inlineStr">
        <is>
          <t>Dieren</t>
        </is>
      </c>
      <c r="D104" s="4" t="inlineStr">
        <is>
          <t>Hoeveel centimeter hoog wordt een volwassen emoe?</t>
        </is>
      </c>
      <c r="E104" s="3" t="n">
        <v>170</v>
      </c>
      <c r="F104" s="3" t="inlineStr">
        <is>
          <t>algemeen naslagwerk</t>
        </is>
      </c>
      <c r="G104" s="4" t="inlineStr">
        <is>
          <t>Handmatig opzoeken; geen vaste bron aan te wijzen.</t>
        </is>
      </c>
      <c r="H104" s="3" t="inlineStr"/>
    </row>
    <row r="105">
      <c r="A105" s="3" t="n">
        <v>637</v>
      </c>
      <c r="B105" s="3" t="inlineStr">
        <is>
          <t>—</t>
        </is>
      </c>
      <c r="C105" s="3" t="inlineStr">
        <is>
          <t>Dieren</t>
        </is>
      </c>
      <c r="D105" s="4" t="inlineStr">
        <is>
          <t>Hoeveel dieren bevat de klassieke Big Five van Afrika?</t>
        </is>
      </c>
      <c r="E105" s="3" t="n">
        <v>5</v>
      </c>
      <c r="F105" s="3" t="inlineStr">
        <is>
          <t>algemeen naslagwerk</t>
        </is>
      </c>
      <c r="G105" s="4" t="inlineStr">
        <is>
          <t>Handmatig opzoeken; geen vaste bron aan te wijzen.</t>
        </is>
      </c>
      <c r="H105" s="3" t="inlineStr"/>
    </row>
    <row r="106">
      <c r="A106" s="3" t="n">
        <v>643</v>
      </c>
      <c r="B106" s="3" t="inlineStr">
        <is>
          <t>—</t>
        </is>
      </c>
      <c r="C106" s="3" t="inlineStr">
        <is>
          <t>Dieren</t>
        </is>
      </c>
      <c r="D106" s="4" t="inlineStr">
        <is>
          <t>Hoeveel kilogram weegt een volwassen mannelijke rode reuzenkangoeroe maximaal?</t>
        </is>
      </c>
      <c r="E106" s="3" t="n">
        <v>90</v>
      </c>
      <c r="F106" s="3" t="inlineStr">
        <is>
          <t>algemeen naslagwerk</t>
        </is>
      </c>
      <c r="G106" s="4" t="inlineStr">
        <is>
          <t>Handmatig opzoeken; geen vaste bron aan te wijzen.</t>
        </is>
      </c>
      <c r="H106" s="3" t="inlineStr"/>
    </row>
    <row r="107">
      <c r="A107" s="3" t="n">
        <v>645</v>
      </c>
      <c r="B107" s="3" t="inlineStr">
        <is>
          <t>—</t>
        </is>
      </c>
      <c r="C107" s="3" t="inlineStr">
        <is>
          <t>Dieren</t>
        </is>
      </c>
      <c r="D107" s="4" t="inlineStr">
        <is>
          <t>Hoeveel kilogram weegt een volwassen mannetjesolifant in Afrika?</t>
        </is>
      </c>
      <c r="E107" s="3" t="n">
        <v>6000</v>
      </c>
      <c r="F107" s="3" t="inlineStr">
        <is>
          <t>algemeen naslagwerk</t>
        </is>
      </c>
      <c r="G107" s="4" t="inlineStr">
        <is>
          <t>Handmatig opzoeken; geen vaste bron aan te wijzen.</t>
        </is>
      </c>
      <c r="H107" s="3" t="inlineStr"/>
    </row>
    <row r="108">
      <c r="A108" s="3" t="n">
        <v>648</v>
      </c>
      <c r="B108" s="3" t="inlineStr">
        <is>
          <t>—</t>
        </is>
      </c>
      <c r="C108" s="3" t="inlineStr">
        <is>
          <t>Dieren</t>
        </is>
      </c>
      <c r="D108" s="4" t="inlineStr">
        <is>
          <t>Hoeveel kilogram weegt een volwassen nijlpaard?</t>
        </is>
      </c>
      <c r="E108" s="3" t="n">
        <v>1500</v>
      </c>
      <c r="F108" s="3" t="inlineStr">
        <is>
          <t>algemeen naslagwerk</t>
        </is>
      </c>
      <c r="G108" s="4" t="inlineStr">
        <is>
          <t>Handmatig opzoeken; geen vaste bron aan te wijzen.</t>
        </is>
      </c>
      <c r="H108" s="3" t="inlineStr"/>
    </row>
    <row r="109">
      <c r="A109" s="3" t="n">
        <v>649</v>
      </c>
      <c r="B109" s="3" t="inlineStr">
        <is>
          <t>—</t>
        </is>
      </c>
      <c r="C109" s="3" t="inlineStr">
        <is>
          <t>Dieren</t>
        </is>
      </c>
      <c r="D109" s="4" t="inlineStr">
        <is>
          <t>Hoeveel kilogram weegt een volwassen emoe?</t>
        </is>
      </c>
      <c r="E109" s="3" t="n">
        <v>45</v>
      </c>
      <c r="F109" s="3" t="inlineStr">
        <is>
          <t>algemeen naslagwerk</t>
        </is>
      </c>
      <c r="G109" s="4" t="inlineStr">
        <is>
          <t>Handmatig opzoeken; geen vaste bron aan te wijzen.</t>
        </is>
      </c>
      <c r="H109" s="3" t="inlineStr"/>
    </row>
    <row r="110">
      <c r="A110" s="3" t="n">
        <v>650</v>
      </c>
      <c r="B110" s="3" t="inlineStr">
        <is>
          <t>—</t>
        </is>
      </c>
      <c r="C110" s="3" t="inlineStr">
        <is>
          <t>Dieren</t>
        </is>
      </c>
      <c r="D110" s="4" t="inlineStr">
        <is>
          <t>Hoeveel kilogram weegt een volwassen giraffe?</t>
        </is>
      </c>
      <c r="E110" s="3" t="n">
        <v>1200</v>
      </c>
      <c r="F110" s="3" t="inlineStr">
        <is>
          <t>algemeen naslagwerk</t>
        </is>
      </c>
      <c r="G110" s="4" t="inlineStr">
        <is>
          <t>Handmatig opzoeken; geen vaste bron aan te wijzen.</t>
        </is>
      </c>
      <c r="H110" s="3" t="inlineStr"/>
    </row>
    <row r="111">
      <c r="A111" s="3" t="n">
        <v>651</v>
      </c>
      <c r="B111" s="3" t="inlineStr">
        <is>
          <t>—</t>
        </is>
      </c>
      <c r="C111" s="3" t="inlineStr">
        <is>
          <t>Dieren</t>
        </is>
      </c>
      <c r="D111" s="4" t="inlineStr">
        <is>
          <t>Hoeveel kilogram weegt een volwassen mannelijke jaguar?</t>
        </is>
      </c>
      <c r="E111" s="3" t="n">
        <v>100</v>
      </c>
      <c r="F111" s="3" t="inlineStr">
        <is>
          <t>algemeen naslagwerk</t>
        </is>
      </c>
      <c r="G111" s="4" t="inlineStr">
        <is>
          <t>Handmatig opzoeken; geen vaste bron aan te wijzen.</t>
        </is>
      </c>
      <c r="H111" s="3" t="inlineStr"/>
    </row>
    <row r="112">
      <c r="A112" s="3" t="n">
        <v>652</v>
      </c>
      <c r="B112" s="3" t="inlineStr">
        <is>
          <t>—</t>
        </is>
      </c>
      <c r="C112" s="3" t="inlineStr">
        <is>
          <t>Dieren</t>
        </is>
      </c>
      <c r="D112" s="4" t="inlineStr">
        <is>
          <t>Hoeveel kilogram weegt een volwassen witte neushoorn?</t>
        </is>
      </c>
      <c r="E112" s="3" t="n">
        <v>2000</v>
      </c>
      <c r="F112" s="3" t="inlineStr">
        <is>
          <t>algemeen naslagwerk</t>
        </is>
      </c>
      <c r="G112" s="4" t="inlineStr">
        <is>
          <t>Handmatig opzoeken; geen vaste bron aan te wijzen.</t>
        </is>
      </c>
      <c r="H112" s="3" t="inlineStr"/>
    </row>
    <row r="113">
      <c r="A113" s="3" t="n">
        <v>655</v>
      </c>
      <c r="B113" s="3" t="inlineStr">
        <is>
          <t>—</t>
        </is>
      </c>
      <c r="C113" s="3" t="inlineStr">
        <is>
          <t>Dieren</t>
        </is>
      </c>
      <c r="D113" s="4" t="inlineStr">
        <is>
          <t>Hoeveel kilometer per uur haalt een cheetah op zijn snelst?</t>
        </is>
      </c>
      <c r="E113" s="3" t="n">
        <v>110</v>
      </c>
      <c r="F113" s="3" t="inlineStr">
        <is>
          <t>algemeen naslagwerk</t>
        </is>
      </c>
      <c r="G113" s="4" t="inlineStr">
        <is>
          <t>Handmatig opzoeken; geen vaste bron aan te wijzen.</t>
        </is>
      </c>
      <c r="H113" s="3" t="inlineStr"/>
    </row>
    <row r="114">
      <c r="A114" s="3" t="n">
        <v>656</v>
      </c>
      <c r="B114" s="3" t="inlineStr">
        <is>
          <t>—</t>
        </is>
      </c>
      <c r="C114" s="3" t="inlineStr">
        <is>
          <t>Dieren</t>
        </is>
      </c>
      <c r="D114" s="4" t="inlineStr">
        <is>
          <t>Hoeveel kilometer per uur sprint een jaguar?</t>
        </is>
      </c>
      <c r="E114" s="3" t="n">
        <v>80</v>
      </c>
      <c r="F114" s="3" t="inlineStr">
        <is>
          <t>algemeen naslagwerk</t>
        </is>
      </c>
      <c r="G114" s="4" t="inlineStr">
        <is>
          <t>Handmatig opzoeken; geen vaste bron aan te wijzen.</t>
        </is>
      </c>
      <c r="H114" s="3" t="inlineStr"/>
    </row>
    <row r="115">
      <c r="A115" s="3" t="n">
        <v>662</v>
      </c>
      <c r="B115" s="3" t="inlineStr">
        <is>
          <t>—</t>
        </is>
      </c>
      <c r="C115" s="3" t="inlineStr">
        <is>
          <t>Dieren</t>
        </is>
      </c>
      <c r="D115" s="4" t="inlineStr">
        <is>
          <t>Hoeveel meter lang kan een volwassen nijlkrokodil worden?</t>
        </is>
      </c>
      <c r="E115" s="3" t="n">
        <v>5</v>
      </c>
      <c r="F115" s="3" t="inlineStr">
        <is>
          <t>algemeen naslagwerk</t>
        </is>
      </c>
      <c r="G115" s="4" t="inlineStr">
        <is>
          <t>Handmatig opzoeken; geen vaste bron aan te wijzen.</t>
        </is>
      </c>
      <c r="H115" s="3" t="inlineStr"/>
    </row>
    <row r="116">
      <c r="A116" s="3" t="n">
        <v>664</v>
      </c>
      <c r="B116" s="3" t="inlineStr">
        <is>
          <t>—</t>
        </is>
      </c>
      <c r="C116" s="3" t="inlineStr">
        <is>
          <t>Dieren</t>
        </is>
      </c>
      <c r="D116" s="4" t="inlineStr">
        <is>
          <t>Hoeveel meter lang wordt een zoutwaterkrokodil maximaal?</t>
        </is>
      </c>
      <c r="E116" s="3" t="n">
        <v>6</v>
      </c>
      <c r="F116" s="3" t="inlineStr">
        <is>
          <t>algemeen naslagwerk</t>
        </is>
      </c>
      <c r="G116" s="4" t="inlineStr">
        <is>
          <t>Handmatig opzoeken; geen vaste bron aan te wijzen.</t>
        </is>
      </c>
      <c r="H116" s="3" t="inlineStr"/>
    </row>
    <row r="117">
      <c r="A117" s="3" t="n">
        <v>671</v>
      </c>
      <c r="B117" s="3" t="inlineStr">
        <is>
          <t>—</t>
        </is>
      </c>
      <c r="C117" s="3" t="inlineStr">
        <is>
          <t>Dieren</t>
        </is>
      </c>
      <c r="D117" s="4" t="inlineStr">
        <is>
          <t>Hoeveel procent van de wilde leeuwen leeft in Sub-Sahara Afrika?</t>
        </is>
      </c>
      <c r="E117" s="3" t="n">
        <v>95</v>
      </c>
      <c r="F117" s="3" t="inlineStr">
        <is>
          <t>algemeen naslagwerk</t>
        </is>
      </c>
      <c r="G117" s="4" t="inlineStr">
        <is>
          <t>Handmatig opzoeken; geen vaste bron aan te wijzen.</t>
        </is>
      </c>
      <c r="H117" s="3" t="inlineStr"/>
    </row>
    <row r="118">
      <c r="A118" s="3" t="n">
        <v>672</v>
      </c>
      <c r="B118" s="3" t="inlineStr">
        <is>
          <t>—</t>
        </is>
      </c>
      <c r="C118" s="3" t="inlineStr">
        <is>
          <t>Dieren</t>
        </is>
      </c>
      <c r="D118" s="4" t="inlineStr">
        <is>
          <t>Hoeveel apensoorten telt het Amazonegebied ongeveer?</t>
        </is>
      </c>
      <c r="E118" s="3" t="n">
        <v>100</v>
      </c>
      <c r="F118" s="3" t="inlineStr">
        <is>
          <t>algemeen naslagwerk</t>
        </is>
      </c>
      <c r="G118" s="4" t="inlineStr">
        <is>
          <t>Handmatig opzoeken; geen vaste bron aan te wijzen.</t>
        </is>
      </c>
      <c r="H118" s="3" t="inlineStr"/>
    </row>
    <row r="119">
      <c r="A119" s="3" t="n">
        <v>680</v>
      </c>
      <c r="B119" s="3" t="inlineStr">
        <is>
          <t>—</t>
        </is>
      </c>
      <c r="C119" s="3" t="inlineStr">
        <is>
          <t>Dieren</t>
        </is>
      </c>
      <c r="D119" s="4" t="inlineStr">
        <is>
          <t>Hoeveel vogelsoorten telt het Amazonegebied?</t>
        </is>
      </c>
      <c r="E119" s="3" t="n">
        <v>1300</v>
      </c>
      <c r="F119" s="3" t="inlineStr">
        <is>
          <t>algemeen naslagwerk</t>
        </is>
      </c>
      <c r="G119" s="4" t="inlineStr">
        <is>
          <t>Handmatig opzoeken; geen vaste bron aan te wijzen.</t>
        </is>
      </c>
      <c r="H119" s="3" t="inlineStr"/>
    </row>
    <row r="120">
      <c r="A120" s="3" t="n">
        <v>684</v>
      </c>
      <c r="B120" s="3" t="inlineStr">
        <is>
          <t>—</t>
        </is>
      </c>
      <c r="C120" s="3" t="inlineStr">
        <is>
          <t>Dieren</t>
        </is>
      </c>
      <c r="D120" s="4" t="inlineStr">
        <is>
          <t>Hoeveel tanden wisselt een haai gedurende zijn leven ongeveer?</t>
        </is>
      </c>
      <c r="E120" s="3" t="n">
        <v>20000</v>
      </c>
      <c r="F120" s="3" t="inlineStr">
        <is>
          <t>algemeen naslagwerk</t>
        </is>
      </c>
      <c r="G120" s="4" t="inlineStr">
        <is>
          <t>Handmatig opzoeken; geen vaste bron aan te wijzen.</t>
        </is>
      </c>
      <c r="H120" s="3" t="inlineStr"/>
    </row>
    <row r="121">
      <c r="A121" s="3" t="n">
        <v>688</v>
      </c>
      <c r="B121" s="3" t="inlineStr">
        <is>
          <t>—</t>
        </is>
      </c>
      <c r="C121" s="3" t="inlineStr">
        <is>
          <t>Dieren</t>
        </is>
      </c>
      <c r="D121" s="4" t="inlineStr">
        <is>
          <t>Hoeveel van de 10 giftigste slangen ter wereld komen voor in Australië?</t>
        </is>
      </c>
      <c r="E121" s="3" t="n">
        <v>0</v>
      </c>
      <c r="F121" s="3" t="inlineStr">
        <is>
          <t>algemeen naslagwerk</t>
        </is>
      </c>
      <c r="G121" s="4" t="inlineStr">
        <is>
          <t>Handmatig opzoeken; geen vaste bron aan te wijzen.</t>
        </is>
      </c>
      <c r="H121" s="3" t="inlineStr"/>
    </row>
    <row r="122">
      <c r="A122" s="3" t="n">
        <v>690</v>
      </c>
      <c r="B122" s="3" t="inlineStr">
        <is>
          <t>—</t>
        </is>
      </c>
      <c r="C122" s="3" t="inlineStr">
        <is>
          <t>Dieren</t>
        </is>
      </c>
      <c r="D122" s="4" t="inlineStr">
        <is>
          <t>Hoeveel kilogram weegt een volwassen mannelijke Amerikaanse bizon?</t>
        </is>
      </c>
      <c r="E122" s="3" t="n">
        <v>900</v>
      </c>
      <c r="F122" s="3" t="inlineStr">
        <is>
          <t>algemeen naslagwerk</t>
        </is>
      </c>
      <c r="G122" s="4" t="inlineStr">
        <is>
          <t>Handmatig opzoeken; geen vaste bron aan te wijzen.</t>
        </is>
      </c>
      <c r="H122" s="3" t="inlineStr"/>
    </row>
    <row r="123">
      <c r="A123" s="3" t="n">
        <v>695</v>
      </c>
      <c r="B123" s="3" t="inlineStr">
        <is>
          <t>—</t>
        </is>
      </c>
      <c r="C123" s="3" t="inlineStr">
        <is>
          <t>Economie &amp; geld</t>
        </is>
      </c>
      <c r="D123" s="4" t="inlineStr">
        <is>
          <t>Hoeveel biljoen dollar is de jaarlijkse wereldhandel in goederen ongeveer?</t>
        </is>
      </c>
      <c r="E123" s="3" t="n">
        <v>26</v>
      </c>
      <c r="F123" s="3" t="inlineStr">
        <is>
          <t>algemeen naslagwerk</t>
        </is>
      </c>
      <c r="G123" s="4" t="inlineStr">
        <is>
          <t>Handmatig opzoeken; geen vaste bron aan te wijzen.</t>
        </is>
      </c>
      <c r="H123" s="3" t="inlineStr"/>
    </row>
    <row r="124">
      <c r="A124" s="3" t="n">
        <v>699</v>
      </c>
      <c r="B124" s="3" t="inlineStr">
        <is>
          <t>—</t>
        </is>
      </c>
      <c r="C124" s="3" t="inlineStr">
        <is>
          <t>Economie &amp; geld</t>
        </is>
      </c>
      <c r="D124" s="4" t="inlineStr">
        <is>
          <t>Hoeveel landen zijn lid van de G7?</t>
        </is>
      </c>
      <c r="E124" s="3" t="n">
        <v>7</v>
      </c>
      <c r="F124" s="3" t="inlineStr">
        <is>
          <t>algemeen naslagwerk</t>
        </is>
      </c>
      <c r="G124" s="4" t="inlineStr">
        <is>
          <t>Handmatig opzoeken; geen vaste bron aan te wijzen.</t>
        </is>
      </c>
      <c r="H124" s="3" t="inlineStr"/>
    </row>
    <row r="125">
      <c r="A125" s="3" t="n">
        <v>700</v>
      </c>
      <c r="B125" s="3" t="inlineStr">
        <is>
          <t>—</t>
        </is>
      </c>
      <c r="C125" s="3" t="inlineStr">
        <is>
          <t>Economie &amp; geld</t>
        </is>
      </c>
      <c r="D125" s="4" t="inlineStr">
        <is>
          <t>Hoeveel munten telt een volledige set eurocent- en euromunten?</t>
        </is>
      </c>
      <c r="E125" s="3" t="n">
        <v>8</v>
      </c>
      <c r="F125" s="3" t="inlineStr">
        <is>
          <t>algemeen naslagwerk</t>
        </is>
      </c>
      <c r="G125" s="4" t="inlineStr">
        <is>
          <t>Handmatig opzoeken; geen vaste bron aan te wijzen.</t>
        </is>
      </c>
      <c r="H125" s="3" t="inlineStr"/>
    </row>
    <row r="126">
      <c r="A126" s="3" t="n">
        <v>706</v>
      </c>
      <c r="B126" s="3" t="inlineStr">
        <is>
          <t>—</t>
        </is>
      </c>
      <c r="C126" s="3" t="inlineStr">
        <is>
          <t>Eten &amp; drinken</t>
        </is>
      </c>
      <c r="D126" s="4" t="inlineStr">
        <is>
          <t>Hoeveel dagen rijpt Parmigiano Reggiano minimaal?</t>
        </is>
      </c>
      <c r="E126" s="3" t="n">
        <v>12</v>
      </c>
      <c r="F126" s="3" t="inlineStr">
        <is>
          <t>algemeen naslagwerk</t>
        </is>
      </c>
      <c r="G126" s="4" t="inlineStr">
        <is>
          <t>Handmatig opzoeken; geen vaste bron aan te wijzen.</t>
        </is>
      </c>
      <c r="H126" s="3" t="inlineStr"/>
    </row>
    <row r="127">
      <c r="A127" s="3" t="n">
        <v>713</v>
      </c>
      <c r="B127" s="3" t="inlineStr">
        <is>
          <t>—</t>
        </is>
      </c>
      <c r="C127" s="3" t="inlineStr">
        <is>
          <t>Eten &amp; drinken</t>
        </is>
      </c>
      <c r="D127" s="4" t="inlineStr">
        <is>
          <t>Hoeveel kruiden bevat de klassieke Chinese Five-Spice?</t>
        </is>
      </c>
      <c r="E127" s="3" t="n">
        <v>5</v>
      </c>
      <c r="F127" s="3" t="inlineStr">
        <is>
          <t>algemeen naslagwerk</t>
        </is>
      </c>
      <c r="G127" s="4" t="inlineStr">
        <is>
          <t>Handmatig opzoeken; geen vaste bron aan te wijzen.</t>
        </is>
      </c>
      <c r="H127" s="3" t="inlineStr"/>
    </row>
    <row r="128">
      <c r="A128" s="3" t="n">
        <v>714</v>
      </c>
      <c r="B128" s="3" t="inlineStr">
        <is>
          <t>—</t>
        </is>
      </c>
      <c r="C128" s="3" t="inlineStr">
        <is>
          <t>Eten &amp; drinken</t>
        </is>
      </c>
      <c r="D128" s="4" t="inlineStr">
        <is>
          <t>Hoeveel landen hebben de Italiaanse pizza Margherita als cultureel erfgoed erkend?</t>
        </is>
      </c>
      <c r="E128" s="3" t="n">
        <v>1</v>
      </c>
      <c r="F128" s="3" t="inlineStr">
        <is>
          <t>algemeen naslagwerk</t>
        </is>
      </c>
      <c r="G128" s="4" t="inlineStr">
        <is>
          <t>Handmatig opzoeken; geen vaste bron aan te wijzen.</t>
        </is>
      </c>
      <c r="H128" s="3" t="inlineStr"/>
    </row>
    <row r="129">
      <c r="A129" s="3" t="n">
        <v>718</v>
      </c>
      <c r="B129" s="3" t="inlineStr">
        <is>
          <t>—</t>
        </is>
      </c>
      <c r="C129" s="3" t="inlineStr">
        <is>
          <t>Eten &amp; drinken</t>
        </is>
      </c>
      <c r="D129" s="4" t="inlineStr">
        <is>
          <t>Hoeveel liter olijfolie gebruikt een Griek per jaar?</t>
        </is>
      </c>
      <c r="E129" s="3" t="n">
        <v>20</v>
      </c>
      <c r="F129" s="3" t="inlineStr">
        <is>
          <t>algemeen naslagwerk</t>
        </is>
      </c>
      <c r="G129" s="4" t="inlineStr">
        <is>
          <t>Handmatig opzoeken; geen vaste bron aan te wijzen.</t>
        </is>
      </c>
      <c r="H129" s="3" t="inlineStr"/>
    </row>
    <row r="130">
      <c r="A130" s="3" t="n">
        <v>720</v>
      </c>
      <c r="B130" s="3" t="inlineStr">
        <is>
          <t>—</t>
        </is>
      </c>
      <c r="C130" s="3" t="inlineStr">
        <is>
          <t>Eten &amp; drinken</t>
        </is>
      </c>
      <c r="D130" s="4" t="inlineStr">
        <is>
          <t>Hoeveel procent cacao heeft standaard pure chocolade?</t>
        </is>
      </c>
      <c r="E130" s="3" t="n">
        <v>70</v>
      </c>
      <c r="F130" s="3" t="inlineStr">
        <is>
          <t>algemeen naslagwerk</t>
        </is>
      </c>
      <c r="G130" s="4" t="inlineStr">
        <is>
          <t>Handmatig opzoeken; geen vaste bron aan te wijzen.</t>
        </is>
      </c>
      <c r="H130" s="3" t="inlineStr"/>
    </row>
    <row r="131">
      <c r="A131" s="3" t="n">
        <v>721</v>
      </c>
      <c r="B131" s="3" t="inlineStr">
        <is>
          <t>—</t>
        </is>
      </c>
      <c r="C131" s="3" t="inlineStr">
        <is>
          <t>Eten &amp; drinken</t>
        </is>
      </c>
      <c r="D131" s="4" t="inlineStr">
        <is>
          <t>Hoeveel procent van de wereldcacao komt uit West-Afrika?</t>
        </is>
      </c>
      <c r="E131" s="3" t="n">
        <v>70</v>
      </c>
      <c r="F131" s="3" t="inlineStr">
        <is>
          <t>algemeen naslagwerk</t>
        </is>
      </c>
      <c r="G131" s="4" t="inlineStr">
        <is>
          <t>Handmatig opzoeken; geen vaste bron aan te wijzen.</t>
        </is>
      </c>
      <c r="H131" s="3" t="inlineStr"/>
    </row>
    <row r="132">
      <c r="A132" s="3" t="n">
        <v>725</v>
      </c>
      <c r="B132" s="3" t="inlineStr">
        <is>
          <t>—</t>
        </is>
      </c>
      <c r="C132" s="3" t="inlineStr">
        <is>
          <t>Eten &amp; drinken</t>
        </is>
      </c>
      <c r="D132" s="4" t="inlineStr">
        <is>
          <t>Hoeveel kaassoorten produceert Frankrijk ongeveer?</t>
        </is>
      </c>
      <c r="E132" s="3" t="n">
        <v>300</v>
      </c>
      <c r="F132" s="3" t="inlineStr">
        <is>
          <t>algemeen naslagwerk</t>
        </is>
      </c>
      <c r="G132" s="4" t="inlineStr">
        <is>
          <t>Handmatig opzoeken; geen vaste bron aan te wijzen.</t>
        </is>
      </c>
      <c r="H132" s="3" t="inlineStr"/>
    </row>
    <row r="133">
      <c r="A133" s="3" t="n">
        <v>731</v>
      </c>
      <c r="B133" s="3" t="inlineStr">
        <is>
          <t>—</t>
        </is>
      </c>
      <c r="C133" s="3" t="inlineStr">
        <is>
          <t>Films en series</t>
        </is>
      </c>
      <c r="D133" s="4" t="inlineStr">
        <is>
          <t>Hoeveel Mad Max films zijn er in totaal gemaakt?</t>
        </is>
      </c>
      <c r="E133" s="3" t="n">
        <v>5</v>
      </c>
      <c r="F133" s="3" t="inlineStr">
        <is>
          <t>algemeen naslagwerk</t>
        </is>
      </c>
      <c r="G133" s="4" t="inlineStr">
        <is>
          <t>Handmatig opzoeken; geen vaste bron aan te wijzen.</t>
        </is>
      </c>
      <c r="H133" s="3" t="inlineStr"/>
    </row>
    <row r="134">
      <c r="A134" s="3" t="n">
        <v>737</v>
      </c>
      <c r="B134" s="3" t="inlineStr">
        <is>
          <t>—</t>
        </is>
      </c>
      <c r="C134" s="3" t="inlineStr">
        <is>
          <t>Films en series</t>
        </is>
      </c>
      <c r="D134" s="4" t="inlineStr">
        <is>
          <t>Hoeveel Oscars won de film Parasite?</t>
        </is>
      </c>
      <c r="E134" s="3" t="n">
        <v>4</v>
      </c>
      <c r="F134" s="3" t="inlineStr">
        <is>
          <t>algemeen naslagwerk</t>
        </is>
      </c>
      <c r="G134" s="4" t="inlineStr">
        <is>
          <t>Handmatig opzoeken; geen vaste bron aan te wijzen.</t>
        </is>
      </c>
      <c r="H134" s="3" t="inlineStr"/>
    </row>
    <row r="135">
      <c r="A135" s="3" t="n">
        <v>748</v>
      </c>
      <c r="B135" s="3" t="inlineStr">
        <is>
          <t>—</t>
        </is>
      </c>
      <c r="C135" s="3" t="inlineStr">
        <is>
          <t>Boeken en literatuur</t>
        </is>
      </c>
      <c r="D135" s="4" t="inlineStr">
        <is>
          <t>Hoeveel woorden telt de complete Harry Potter boekenserie (Engels origineel)?</t>
        </is>
      </c>
      <c r="E135" s="3" t="n">
        <v>1084170</v>
      </c>
      <c r="F135" s="3" t="inlineStr">
        <is>
          <t>algemeen naslagwerk</t>
        </is>
      </c>
      <c r="G135" s="4" t="inlineStr">
        <is>
          <t>Handmatig opzoeken; geen vaste bron aan te wijzen.</t>
        </is>
      </c>
      <c r="H135" s="3" t="inlineStr"/>
    </row>
    <row r="136">
      <c r="A136" s="3" t="n">
        <v>750</v>
      </c>
      <c r="B136" s="3" t="inlineStr">
        <is>
          <t>—</t>
        </is>
      </c>
      <c r="C136" s="3" t="inlineStr">
        <is>
          <t>Films en series</t>
        </is>
      </c>
      <c r="D136" s="4" t="inlineStr">
        <is>
          <t>In welk jaar werd de eerste film publiek vertoond?</t>
        </is>
      </c>
      <c r="E136" s="3" t="n">
        <v>1895</v>
      </c>
      <c r="F136" s="3" t="inlineStr">
        <is>
          <t>algemeen naslagwerk</t>
        </is>
      </c>
      <c r="G136" s="4" t="inlineStr">
        <is>
          <t>Handmatig opzoeken; geen vaste bron aan te wijzen.</t>
        </is>
      </c>
      <c r="H136" s="3" t="inlineStr"/>
    </row>
    <row r="137">
      <c r="A137" s="3" t="n">
        <v>754</v>
      </c>
      <c r="B137" s="3" t="inlineStr">
        <is>
          <t>—</t>
        </is>
      </c>
      <c r="C137" s="3" t="inlineStr">
        <is>
          <t>Filosofie, psychologie en religie</t>
        </is>
      </c>
      <c r="D137" s="4" t="inlineStr">
        <is>
          <t>Hoeveel boeken telt de Tenach in de joodse traditie?</t>
        </is>
      </c>
      <c r="E137" s="3" t="n">
        <v>24</v>
      </c>
      <c r="F137" s="3" t="inlineStr">
        <is>
          <t>algemeen naslagwerk</t>
        </is>
      </c>
      <c r="G137" s="4" t="inlineStr">
        <is>
          <t>Handmatig opzoeken; geen vaste bron aan te wijzen.</t>
        </is>
      </c>
      <c r="H137" s="3" t="inlineStr"/>
    </row>
    <row r="138">
      <c r="A138" s="3" t="n">
        <v>756</v>
      </c>
      <c r="B138" s="3" t="inlineStr">
        <is>
          <t>—</t>
        </is>
      </c>
      <c r="C138" s="3" t="inlineStr">
        <is>
          <t>Filosofie, psychologie en religie</t>
        </is>
      </c>
      <c r="D138" s="4" t="inlineStr">
        <is>
          <t>Hoeveel dialogen van Plato zijn traditioneel bewaard gebleven?</t>
        </is>
      </c>
      <c r="E138" s="3" t="n">
        <v>36</v>
      </c>
      <c r="F138" s="3" t="inlineStr">
        <is>
          <t>algemeen naslagwerk</t>
        </is>
      </c>
      <c r="G138" s="4" t="inlineStr">
        <is>
          <t>Handmatig opzoeken; geen vaste bron aan te wijzen.</t>
        </is>
      </c>
      <c r="H138" s="3" t="inlineStr"/>
    </row>
    <row r="139">
      <c r="A139" s="3" t="n">
        <v>758</v>
      </c>
      <c r="B139" s="3" t="inlineStr">
        <is>
          <t>—</t>
        </is>
      </c>
      <c r="C139" s="3" t="inlineStr">
        <is>
          <t>Filosofie, psychologie en religie</t>
        </is>
      </c>
      <c r="D139" s="4" t="inlineStr">
        <is>
          <t>Hoeveel edelwaarheden kent het boeddhisme?</t>
        </is>
      </c>
      <c r="E139" s="3" t="n">
        <v>4</v>
      </c>
      <c r="F139" s="3" t="inlineStr">
        <is>
          <t>algemeen naslagwerk</t>
        </is>
      </c>
      <c r="G139" s="4" t="inlineStr">
        <is>
          <t>Handmatig opzoeken; geen vaste bron aan te wijzen.</t>
        </is>
      </c>
      <c r="H139" s="3" t="inlineStr"/>
    </row>
    <row r="140">
      <c r="A140" s="3" t="n">
        <v>764</v>
      </c>
      <c r="B140" s="3" t="inlineStr">
        <is>
          <t>—</t>
        </is>
      </c>
      <c r="C140" s="3" t="inlineStr">
        <is>
          <t>Filosofie, psychologie en religie</t>
        </is>
      </c>
      <c r="D140" s="4" t="inlineStr">
        <is>
          <t>Hoeveel opdrachten (werken) moest Hercules voltooien volgens de Griekse mythologie?</t>
        </is>
      </c>
      <c r="E140" s="3" t="n">
        <v>12</v>
      </c>
      <c r="F140" s="3" t="inlineStr">
        <is>
          <t>algemeen naslagwerk</t>
        </is>
      </c>
      <c r="G140" s="4" t="inlineStr">
        <is>
          <t>Handmatig opzoeken; geen vaste bron aan te wijzen.</t>
        </is>
      </c>
      <c r="H140" s="3" t="inlineStr"/>
    </row>
    <row r="141">
      <c r="A141" s="3" t="n">
        <v>765</v>
      </c>
      <c r="B141" s="3" t="inlineStr">
        <is>
          <t>—</t>
        </is>
      </c>
      <c r="C141" s="3" t="inlineStr">
        <is>
          <t>Filosofie, psychologie en religie</t>
        </is>
      </c>
      <c r="D141" s="4" t="inlineStr">
        <is>
          <t>Hoeveel paden telt het Achtvoudige Pad van het boeddhisme?</t>
        </is>
      </c>
      <c r="E141" s="3" t="n">
        <v>8</v>
      </c>
      <c r="F141" s="3" t="inlineStr">
        <is>
          <t>algemeen naslagwerk</t>
        </is>
      </c>
      <c r="G141" s="4" t="inlineStr">
        <is>
          <t>Handmatig opzoeken; geen vaste bron aan te wijzen.</t>
        </is>
      </c>
      <c r="H141" s="3" t="inlineStr"/>
    </row>
    <row r="142">
      <c r="A142" s="3" t="n">
        <v>766</v>
      </c>
      <c r="B142" s="3" t="inlineStr">
        <is>
          <t>—</t>
        </is>
      </c>
      <c r="C142" s="3" t="inlineStr">
        <is>
          <t>Filosofie, psychologie en religie</t>
        </is>
      </c>
      <c r="D142" s="4" t="inlineStr">
        <is>
          <t>Hoeveel miljoen pelgrims bezoeken Mekka jaarlijks?</t>
        </is>
      </c>
      <c r="E142" s="3" t="n">
        <v>2</v>
      </c>
      <c r="F142" s="3" t="inlineStr">
        <is>
          <t>algemeen naslagwerk</t>
        </is>
      </c>
      <c r="G142" s="4" t="inlineStr">
        <is>
          <t>Handmatig opzoeken; geen vaste bron aan te wijzen.</t>
        </is>
      </c>
      <c r="H142" s="3" t="inlineStr"/>
    </row>
    <row r="143">
      <c r="A143" s="3" t="n">
        <v>767</v>
      </c>
      <c r="B143" s="3" t="inlineStr">
        <is>
          <t>—</t>
        </is>
      </c>
      <c r="C143" s="3" t="inlineStr">
        <is>
          <t>Filosofie, psychologie en religie</t>
        </is>
      </c>
      <c r="D143" s="4" t="inlineStr">
        <is>
          <t>Hoeveel procent van de wereldbevolking is boeddhistisch?</t>
        </is>
      </c>
      <c r="E143" s="3" t="n">
        <v>7</v>
      </c>
      <c r="F143" s="3" t="inlineStr">
        <is>
          <t>algemeen naslagwerk</t>
        </is>
      </c>
      <c r="G143" s="4" t="inlineStr">
        <is>
          <t>Handmatig opzoeken; geen vaste bron aan te wijzen.</t>
        </is>
      </c>
      <c r="H143" s="3" t="inlineStr"/>
    </row>
    <row r="144">
      <c r="A144" s="3" t="n">
        <v>769</v>
      </c>
      <c r="B144" s="3" t="inlineStr">
        <is>
          <t>—</t>
        </is>
      </c>
      <c r="C144" s="3" t="inlineStr">
        <is>
          <t>Filosofie, psychologie en religie</t>
        </is>
      </c>
      <c r="D144" s="4" t="inlineStr">
        <is>
          <t>Hoeveel zwaarden waren er volgens de legende van koning Arthur beschikbaar?</t>
        </is>
      </c>
      <c r="E144" s="3" t="n">
        <v>1</v>
      </c>
      <c r="F144" s="3" t="inlineStr">
        <is>
          <t>algemeen naslagwerk</t>
        </is>
      </c>
      <c r="G144" s="4" t="inlineStr">
        <is>
          <t>Handmatig opzoeken; geen vaste bron aan te wijzen.</t>
        </is>
      </c>
      <c r="H144" s="3" t="inlineStr"/>
    </row>
    <row r="145">
      <c r="A145" s="3" t="n">
        <v>770</v>
      </c>
      <c r="B145" s="3" t="inlineStr">
        <is>
          <t>—</t>
        </is>
      </c>
      <c r="C145" s="3" t="inlineStr">
        <is>
          <t>Gebouwen en infrastructuur</t>
        </is>
      </c>
      <c r="D145" s="4" t="inlineStr">
        <is>
          <t>Hoeveel piramides telt Egypte ongeveer?</t>
        </is>
      </c>
      <c r="E145" s="3" t="n">
        <v>120</v>
      </c>
      <c r="F145" s="3" t="inlineStr">
        <is>
          <t>algemeen naslagwerk</t>
        </is>
      </c>
      <c r="G145" s="4" t="inlineStr">
        <is>
          <t>Handmatig opzoeken; geen vaste bron aan te wijzen.</t>
        </is>
      </c>
      <c r="H145" s="3" t="inlineStr"/>
    </row>
    <row r="146">
      <c r="A146" s="3" t="n">
        <v>772</v>
      </c>
      <c r="B146" s="3" t="inlineStr">
        <is>
          <t>—</t>
        </is>
      </c>
      <c r="C146" s="3" t="inlineStr">
        <is>
          <t>Gebouwen en infrastructuur</t>
        </is>
      </c>
      <c r="D146" s="4" t="inlineStr">
        <is>
          <t>Hoeveel boogsegmenten telt het Colosseum per verdieping?</t>
        </is>
      </c>
      <c r="E146" s="3" t="n">
        <v>80</v>
      </c>
      <c r="F146" s="3" t="inlineStr">
        <is>
          <t>algemeen naslagwerk</t>
        </is>
      </c>
      <c r="G146" s="4" t="inlineStr">
        <is>
          <t>Handmatig opzoeken; geen vaste bron aan te wijzen.</t>
        </is>
      </c>
      <c r="H146" s="3" t="inlineStr"/>
    </row>
    <row r="147">
      <c r="A147" s="3" t="n">
        <v>782</v>
      </c>
      <c r="B147" s="3" t="inlineStr">
        <is>
          <t>—</t>
        </is>
      </c>
      <c r="C147" s="3" t="inlineStr">
        <is>
          <t>Gebouwen en infrastructuur</t>
        </is>
      </c>
      <c r="D147" s="4" t="inlineStr">
        <is>
          <t>Hoeveel kilometer van de Kanaaltunnel ligt onder zee?</t>
        </is>
      </c>
      <c r="E147" s="3" t="n">
        <v>38</v>
      </c>
      <c r="F147" s="3" t="inlineStr">
        <is>
          <t>algemeen naslagwerk</t>
        </is>
      </c>
      <c r="G147" s="4" t="inlineStr">
        <is>
          <t>Handmatig opzoeken; geen vaste bron aan te wijzen.</t>
        </is>
      </c>
      <c r="H147" s="3" t="inlineStr"/>
    </row>
    <row r="148">
      <c r="A148" s="3" t="n">
        <v>784</v>
      </c>
      <c r="B148" s="3" t="inlineStr">
        <is>
          <t>—</t>
        </is>
      </c>
      <c r="C148" s="3" t="inlineStr">
        <is>
          <t>Gebouwen en infrastructuur</t>
        </is>
      </c>
      <c r="D148" s="4" t="inlineStr">
        <is>
          <t>Hoeveel kilometer lang was Route 66?</t>
        </is>
      </c>
      <c r="E148" s="3" t="n">
        <v>3945</v>
      </c>
      <c r="F148" s="3" t="inlineStr">
        <is>
          <t>algemeen naslagwerk</t>
        </is>
      </c>
      <c r="G148" s="4" t="inlineStr">
        <is>
          <t>Handmatig opzoeken; geen vaste bron aan te wijzen.</t>
        </is>
      </c>
      <c r="H148" s="3" t="inlineStr"/>
    </row>
    <row r="149">
      <c r="A149" s="3" t="n">
        <v>786</v>
      </c>
      <c r="B149" s="3" t="inlineStr">
        <is>
          <t>—</t>
        </is>
      </c>
      <c r="C149" s="3" t="inlineStr">
        <is>
          <t>Gebouwen en infrastructuur</t>
        </is>
      </c>
      <c r="D149" s="4" t="inlineStr">
        <is>
          <t>Hoeveel meter hoog is de Elizabeth Tower, de toren van Big Ben?</t>
        </is>
      </c>
      <c r="E149" s="3" t="n">
        <v>96</v>
      </c>
      <c r="F149" s="3" t="inlineStr">
        <is>
          <t>algemeen naslagwerk</t>
        </is>
      </c>
      <c r="G149" s="4" t="inlineStr">
        <is>
          <t>Handmatig opzoeken; geen vaste bron aan te wijzen.</t>
        </is>
      </c>
      <c r="H149" s="3" t="inlineStr"/>
    </row>
    <row r="150">
      <c r="A150" s="3" t="n">
        <v>787</v>
      </c>
      <c r="B150" s="3" t="inlineStr">
        <is>
          <t>—</t>
        </is>
      </c>
      <c r="C150" s="3" t="inlineStr">
        <is>
          <t>Gebouwen en infrastructuur</t>
        </is>
      </c>
      <c r="D150" s="4" t="inlineStr">
        <is>
          <t>Hoeveel meter hoog is het Christus Verlosser-beeld zonder sokkel?</t>
        </is>
      </c>
      <c r="E150" s="3" t="n">
        <v>30</v>
      </c>
      <c r="F150" s="3" t="inlineStr">
        <is>
          <t>algemeen naslagwerk</t>
        </is>
      </c>
      <c r="G150" s="4" t="inlineStr">
        <is>
          <t>Handmatig opzoeken; geen vaste bron aan te wijzen.</t>
        </is>
      </c>
      <c r="H150" s="3" t="inlineStr"/>
    </row>
    <row r="151">
      <c r="A151" s="3" t="n">
        <v>789</v>
      </c>
      <c r="B151" s="3" t="inlineStr">
        <is>
          <t>—</t>
        </is>
      </c>
      <c r="C151" s="3" t="inlineStr">
        <is>
          <t>Gebouwen en infrastructuur</t>
        </is>
      </c>
      <c r="D151" s="4" t="inlineStr">
        <is>
          <t>Hoeveel meter hoog is de Christus Redentor standbeeld (met sokkel)?</t>
        </is>
      </c>
      <c r="E151" s="3" t="n">
        <v>40</v>
      </c>
      <c r="F151" s="3" t="inlineStr">
        <is>
          <t>algemeen naslagwerk</t>
        </is>
      </c>
      <c r="G151" s="4" t="inlineStr">
        <is>
          <t>Handmatig opzoeken; geen vaste bron aan te wijzen.</t>
        </is>
      </c>
      <c r="H151" s="3" t="inlineStr"/>
    </row>
    <row r="152">
      <c r="A152" s="3" t="n">
        <v>792</v>
      </c>
      <c r="B152" s="3" t="inlineStr">
        <is>
          <t>—</t>
        </is>
      </c>
      <c r="C152" s="3" t="inlineStr">
        <is>
          <t>Gebouwen en infrastructuur</t>
        </is>
      </c>
      <c r="D152" s="4" t="inlineStr">
        <is>
          <t>Hoeveel meter hoog is de Grote Piramide van Gizeh nu?</t>
        </is>
      </c>
      <c r="E152" s="3" t="n">
        <v>139</v>
      </c>
      <c r="F152" s="3" t="inlineStr">
        <is>
          <t>algemeen naslagwerk</t>
        </is>
      </c>
      <c r="G152" s="4" t="inlineStr">
        <is>
          <t>Handmatig opzoeken; geen vaste bron aan te wijzen.</t>
        </is>
      </c>
      <c r="H152" s="3" t="inlineStr"/>
    </row>
    <row r="153">
      <c r="A153" s="3" t="n">
        <v>801</v>
      </c>
      <c r="B153" s="3" t="inlineStr">
        <is>
          <t>—</t>
        </is>
      </c>
      <c r="C153" s="3" t="inlineStr">
        <is>
          <t>Gebouwen en infrastructuur</t>
        </is>
      </c>
      <c r="D153" s="4" t="inlineStr">
        <is>
          <t>Hoeveel meter hoog is kasteel Neuschwanstein?</t>
        </is>
      </c>
      <c r="E153" s="3" t="n">
        <v>65</v>
      </c>
      <c r="F153" s="3" t="inlineStr">
        <is>
          <t>algemeen naslagwerk</t>
        </is>
      </c>
      <c r="G153" s="4" t="inlineStr">
        <is>
          <t>Handmatig opzoeken; geen vaste bron aan te wijzen.</t>
        </is>
      </c>
      <c r="H153" s="3" t="inlineStr"/>
    </row>
    <row r="154">
      <c r="A154" s="3" t="n">
        <v>807</v>
      </c>
      <c r="B154" s="3" t="inlineStr">
        <is>
          <t>—</t>
        </is>
      </c>
      <c r="C154" s="3" t="inlineStr">
        <is>
          <t>Gebouwen en infrastructuur</t>
        </is>
      </c>
      <c r="D154" s="4" t="inlineStr">
        <is>
          <t>Hoeveel piramides telt het piramideveld van Gizeh (de drie grote)?</t>
        </is>
      </c>
      <c r="E154" s="3" t="n">
        <v>3</v>
      </c>
      <c r="F154" s="3" t="inlineStr">
        <is>
          <t>algemeen naslagwerk</t>
        </is>
      </c>
      <c r="G154" s="4" t="inlineStr">
        <is>
          <t>Handmatig opzoeken; geen vaste bron aan te wijzen.</t>
        </is>
      </c>
      <c r="H154" s="3" t="inlineStr"/>
    </row>
    <row r="155">
      <c r="A155" s="3" t="n">
        <v>808</v>
      </c>
      <c r="B155" s="3" t="inlineStr">
        <is>
          <t>—</t>
        </is>
      </c>
      <c r="C155" s="3" t="inlineStr">
        <is>
          <t>Gebouwen en infrastructuur</t>
        </is>
      </c>
      <c r="D155" s="4" t="inlineStr">
        <is>
          <t>Hoeveel rivieren bruggen telt Sydney Harbour?</t>
        </is>
      </c>
      <c r="E155" s="3" t="n">
        <v>0</v>
      </c>
      <c r="F155" s="3" t="inlineStr">
        <is>
          <t>algemeen naslagwerk</t>
        </is>
      </c>
      <c r="G155" s="4" t="inlineStr">
        <is>
          <t>Handmatig opzoeken; geen vaste bron aan te wijzen.</t>
        </is>
      </c>
      <c r="H155" s="3" t="inlineStr"/>
    </row>
    <row r="156">
      <c r="A156" s="3" t="n">
        <v>811</v>
      </c>
      <c r="B156" s="3" t="inlineStr">
        <is>
          <t>—</t>
        </is>
      </c>
      <c r="C156" s="3" t="inlineStr">
        <is>
          <t>Gebouwen en infrastructuur</t>
        </is>
      </c>
      <c r="D156" s="4" t="inlineStr">
        <is>
          <t>Hoeveel sluizen heeft het Panamakanaal?</t>
        </is>
      </c>
      <c r="E156" s="3" t="n">
        <v>12</v>
      </c>
      <c r="F156" s="3" t="inlineStr">
        <is>
          <t>algemeen naslagwerk</t>
        </is>
      </c>
      <c r="G156" s="4" t="inlineStr">
        <is>
          <t>Handmatig opzoeken; geen vaste bron aan te wijzen.</t>
        </is>
      </c>
      <c r="H156" s="3" t="inlineStr"/>
    </row>
    <row r="157">
      <c r="A157" s="3" t="n">
        <v>812</v>
      </c>
      <c r="B157" s="3" t="inlineStr">
        <is>
          <t>—</t>
        </is>
      </c>
      <c r="C157" s="3" t="inlineStr">
        <is>
          <t>Gebouwen en infrastructuur</t>
        </is>
      </c>
      <c r="D157" s="4" t="inlineStr">
        <is>
          <t>Hoeveel stappen telt El Castillo van Chichen Itza in totaal inclusief de top?</t>
        </is>
      </c>
      <c r="E157" s="3" t="n">
        <v>365</v>
      </c>
      <c r="F157" s="3" t="inlineStr">
        <is>
          <t>algemeen naslagwerk</t>
        </is>
      </c>
      <c r="G157" s="4" t="inlineStr">
        <is>
          <t>Handmatig opzoeken; geen vaste bron aan te wijzen.</t>
        </is>
      </c>
      <c r="H157" s="3" t="inlineStr"/>
    </row>
    <row r="158">
      <c r="A158" s="3" t="n">
        <v>813</v>
      </c>
      <c r="B158" s="3" t="inlineStr">
        <is>
          <t>—</t>
        </is>
      </c>
      <c r="C158" s="3" t="inlineStr">
        <is>
          <t>Gebouwen en infrastructuur</t>
        </is>
      </c>
      <c r="D158" s="4" t="inlineStr">
        <is>
          <t>Hoeveel stappen telt de Mayapyramide El Castillo per zijde?</t>
        </is>
      </c>
      <c r="E158" s="3" t="n">
        <v>91</v>
      </c>
      <c r="F158" s="3" t="inlineStr">
        <is>
          <t>algemeen naslagwerk</t>
        </is>
      </c>
      <c r="G158" s="4" t="inlineStr">
        <is>
          <t>Handmatig opzoeken; geen vaste bron aan te wijzen.</t>
        </is>
      </c>
      <c r="H158" s="3" t="inlineStr"/>
    </row>
    <row r="159">
      <c r="A159" s="3" t="n">
        <v>824</v>
      </c>
      <c r="B159" s="3" t="inlineStr">
        <is>
          <t>—</t>
        </is>
      </c>
      <c r="C159" s="3" t="inlineStr">
        <is>
          <t>Gebouwen en infrastructuur</t>
        </is>
      </c>
      <c r="D159" s="4" t="inlineStr">
        <is>
          <t>Hoeveel verdiepingen heeft de Q1 Tower in Gold Coast (tallest in Australië)?</t>
        </is>
      </c>
      <c r="E159" s="3" t="n">
        <v>78</v>
      </c>
      <c r="F159" s="3" t="inlineStr">
        <is>
          <t>algemeen naslagwerk</t>
        </is>
      </c>
      <c r="G159" s="4" t="inlineStr">
        <is>
          <t>Handmatig opzoeken; geen vaste bron aan te wijzen.</t>
        </is>
      </c>
      <c r="H159" s="3" t="inlineStr"/>
    </row>
    <row r="160">
      <c r="A160" s="3" t="n">
        <v>825</v>
      </c>
      <c r="B160" s="3" t="inlineStr">
        <is>
          <t>—</t>
        </is>
      </c>
      <c r="C160" s="3" t="inlineStr">
        <is>
          <t>Gebouwen en infrastructuur</t>
        </is>
      </c>
      <c r="D160" s="4" t="inlineStr">
        <is>
          <t>Hoeveel verdiepingen heeft de Tokyo Skytree uitkijkplatform?</t>
        </is>
      </c>
      <c r="E160" s="3" t="n">
        <v>2</v>
      </c>
      <c r="F160" s="3" t="inlineStr">
        <is>
          <t>algemeen naslagwerk</t>
        </is>
      </c>
      <c r="G160" s="4" t="inlineStr">
        <is>
          <t>Handmatig opzoeken; geen vaste bron aan te wijzen.</t>
        </is>
      </c>
      <c r="H160" s="3" t="inlineStr"/>
    </row>
    <row r="161">
      <c r="A161" s="3" t="n">
        <v>826</v>
      </c>
      <c r="B161" s="3" t="inlineStr">
        <is>
          <t>—</t>
        </is>
      </c>
      <c r="C161" s="3" t="inlineStr">
        <is>
          <t>Gebouwen en infrastructuur</t>
        </is>
      </c>
      <c r="D161" s="4" t="inlineStr">
        <is>
          <t>Hoeveel verdiepingen heeft het Witte Huis?</t>
        </is>
      </c>
      <c r="E161" s="3" t="n">
        <v>4</v>
      </c>
      <c r="F161" s="3" t="inlineStr">
        <is>
          <t>algemeen naslagwerk</t>
        </is>
      </c>
      <c r="G161" s="4" t="inlineStr">
        <is>
          <t>Handmatig opzoeken; geen vaste bron aan te wijzen.</t>
        </is>
      </c>
      <c r="H161" s="3" t="inlineStr"/>
    </row>
    <row r="162">
      <c r="A162" s="3" t="n">
        <v>834</v>
      </c>
      <c r="B162" s="3" t="inlineStr">
        <is>
          <t>—</t>
        </is>
      </c>
      <c r="C162" s="3" t="inlineStr">
        <is>
          <t>Geografie</t>
        </is>
      </c>
      <c r="D162" s="4" t="inlineStr">
        <is>
          <t>Hoeveel Afrikaanse landen grenzen aan de Atlantische Oceaan?</t>
        </is>
      </c>
      <c r="E162" s="3" t="n">
        <v>23</v>
      </c>
      <c r="F162" s="3" t="inlineStr">
        <is>
          <t>algemeen naslagwerk</t>
        </is>
      </c>
      <c r="G162" s="4" t="inlineStr">
        <is>
          <t>Handmatig opzoeken; geen vaste bron aan te wijzen.</t>
        </is>
      </c>
      <c r="H162" s="3" t="inlineStr"/>
    </row>
    <row r="163">
      <c r="A163" s="3" t="n">
        <v>835</v>
      </c>
      <c r="B163" s="3" t="inlineStr">
        <is>
          <t>—</t>
        </is>
      </c>
      <c r="C163" s="3" t="inlineStr">
        <is>
          <t>Geografie</t>
        </is>
      </c>
      <c r="D163" s="4" t="inlineStr">
        <is>
          <t>Hoeveel Afrikaanse landen grenzen aan de Middellandse Zee?</t>
        </is>
      </c>
      <c r="E163" s="3" t="n">
        <v>6</v>
      </c>
      <c r="F163" s="3" t="inlineStr">
        <is>
          <t>algemeen naslagwerk</t>
        </is>
      </c>
      <c r="G163" s="4" t="inlineStr">
        <is>
          <t>Handmatig opzoeken; geen vaste bron aan te wijzen.</t>
        </is>
      </c>
      <c r="H163" s="3" t="inlineStr"/>
    </row>
    <row r="164">
      <c r="A164" s="3" t="n">
        <v>836</v>
      </c>
      <c r="B164" s="3" t="inlineStr">
        <is>
          <t>—</t>
        </is>
      </c>
      <c r="C164" s="3" t="inlineStr">
        <is>
          <t>Geografie</t>
        </is>
      </c>
      <c r="D164" s="4" t="inlineStr">
        <is>
          <t>Hoeveel Afrikaanse landen liggen aan de Rode Zee?</t>
        </is>
      </c>
      <c r="E164" s="3" t="n">
        <v>6</v>
      </c>
      <c r="F164" s="3" t="inlineStr">
        <is>
          <t>algemeen naslagwerk</t>
        </is>
      </c>
      <c r="G164" s="4" t="inlineStr">
        <is>
          <t>Handmatig opzoeken; geen vaste bron aan te wijzen.</t>
        </is>
      </c>
      <c r="H164" s="3" t="inlineStr"/>
    </row>
    <row r="165">
      <c r="A165" s="3" t="n">
        <v>838</v>
      </c>
      <c r="B165" s="3" t="inlineStr">
        <is>
          <t>—</t>
        </is>
      </c>
      <c r="C165" s="3" t="inlineStr">
        <is>
          <t>Geografie</t>
        </is>
      </c>
      <c r="D165" s="4" t="inlineStr">
        <is>
          <t>Hoeveel duizend inwoners heeft Luxemburg?</t>
        </is>
      </c>
      <c r="E165" s="3" t="n">
        <v>660</v>
      </c>
      <c r="F165" s="3" t="inlineStr">
        <is>
          <t>algemeen naslagwerk</t>
        </is>
      </c>
      <c r="G165" s="4" t="inlineStr">
        <is>
          <t>Handmatig opzoeken; geen vaste bron aan te wijzen.</t>
        </is>
      </c>
      <c r="H165" s="3" t="inlineStr"/>
    </row>
    <row r="166">
      <c r="A166" s="3" t="n">
        <v>841</v>
      </c>
      <c r="B166" s="3" t="inlineStr">
        <is>
          <t>—</t>
        </is>
      </c>
      <c r="C166" s="3" t="inlineStr">
        <is>
          <t>Geografie</t>
        </is>
      </c>
      <c r="D166" s="4" t="inlineStr">
        <is>
          <t>Hoeveel eilanden telt Papoea-Nieuw-Guinea ongeveer?</t>
        </is>
      </c>
      <c r="E166" s="3" t="n">
        <v>600</v>
      </c>
      <c r="F166" s="3" t="inlineStr">
        <is>
          <t>algemeen naslagwerk</t>
        </is>
      </c>
      <c r="G166" s="4" t="inlineStr">
        <is>
          <t>Handmatig opzoeken; geen vaste bron aan te wijzen.</t>
        </is>
      </c>
      <c r="H166" s="3" t="inlineStr"/>
    </row>
    <row r="167">
      <c r="A167" s="3" t="n">
        <v>846</v>
      </c>
      <c r="B167" s="3" t="inlineStr">
        <is>
          <t>—</t>
        </is>
      </c>
      <c r="C167" s="3" t="inlineStr">
        <is>
          <t>Geografie</t>
        </is>
      </c>
      <c r="D167" s="4" t="inlineStr">
        <is>
          <t>Hoeveel eilandstaten telt Afrika?</t>
        </is>
      </c>
      <c r="E167" s="3" t="n">
        <v>6</v>
      </c>
      <c r="F167" s="3" t="inlineStr">
        <is>
          <t>algemeen naslagwerk</t>
        </is>
      </c>
      <c r="G167" s="4" t="inlineStr">
        <is>
          <t>Handmatig opzoeken; geen vaste bron aan te wijzen.</t>
        </is>
      </c>
      <c r="H167" s="3" t="inlineStr"/>
    </row>
    <row r="168">
      <c r="A168" s="3" t="n">
        <v>848</v>
      </c>
      <c r="B168" s="3" t="inlineStr">
        <is>
          <t>—</t>
        </is>
      </c>
      <c r="C168" s="3" t="inlineStr">
        <is>
          <t>Geografie</t>
        </is>
      </c>
      <c r="D168" s="4" t="inlineStr">
        <is>
          <t>Hoeveel hoofdeilanden heeft Nieuw-Zeeland?</t>
        </is>
      </c>
      <c r="E168" s="3" t="n">
        <v>2</v>
      </c>
      <c r="F168" s="3" t="inlineStr">
        <is>
          <t>algemeen naslagwerk</t>
        </is>
      </c>
      <c r="G168" s="4" t="inlineStr">
        <is>
          <t>Handmatig opzoeken; geen vaste bron aan te wijzen.</t>
        </is>
      </c>
      <c r="H168" s="3" t="inlineStr"/>
    </row>
    <row r="169">
      <c r="A169" s="3" t="n">
        <v>853</v>
      </c>
      <c r="B169" s="3" t="inlineStr">
        <is>
          <t>—</t>
        </is>
      </c>
      <c r="C169" s="3" t="inlineStr">
        <is>
          <t>Geografie</t>
        </is>
      </c>
      <c r="D169" s="4" t="inlineStr">
        <is>
          <t>Hoeveel duizend kilometer lang is de Australische kustlijn?</t>
        </is>
      </c>
      <c r="E169" s="3" t="n">
        <v>36</v>
      </c>
      <c r="F169" s="3" t="inlineStr">
        <is>
          <t>algemeen naslagwerk</t>
        </is>
      </c>
      <c r="G169" s="4" t="inlineStr">
        <is>
          <t>Handmatig opzoeken; geen vaste bron aan te wijzen.</t>
        </is>
      </c>
      <c r="H169" s="3" t="inlineStr"/>
    </row>
    <row r="170">
      <c r="A170" s="3" t="n">
        <v>859</v>
      </c>
      <c r="B170" s="3" t="inlineStr">
        <is>
          <t>—</t>
        </is>
      </c>
      <c r="C170" s="3" t="inlineStr">
        <is>
          <t>Geografie</t>
        </is>
      </c>
      <c r="D170" s="4" t="inlineStr">
        <is>
          <t>Hoeveel kilometer breed is de Kalahariwoestijn ongeveer?</t>
        </is>
      </c>
      <c r="E170" s="3" t="n">
        <v>900</v>
      </c>
      <c r="F170" s="3" t="inlineStr">
        <is>
          <t>algemeen naslagwerk</t>
        </is>
      </c>
      <c r="G170" s="4" t="inlineStr">
        <is>
          <t>Handmatig opzoeken; geen vaste bron aan te wijzen.</t>
        </is>
      </c>
      <c r="H170" s="3" t="inlineStr"/>
    </row>
    <row r="171">
      <c r="A171" s="3" t="n">
        <v>871</v>
      </c>
      <c r="B171" s="3" t="inlineStr">
        <is>
          <t>—</t>
        </is>
      </c>
      <c r="C171" s="3" t="inlineStr">
        <is>
          <t>Geografie</t>
        </is>
      </c>
      <c r="D171" s="4" t="inlineStr">
        <is>
          <t>Door hoeveel landen loopt het Andesgebergte?</t>
        </is>
      </c>
      <c r="E171" s="3" t="n">
        <v>7</v>
      </c>
      <c r="F171" s="3" t="inlineStr">
        <is>
          <t>algemeen naslagwerk</t>
        </is>
      </c>
      <c r="G171" s="4" t="inlineStr">
        <is>
          <t>Handmatig opzoeken; geen vaste bron aan te wijzen.</t>
        </is>
      </c>
      <c r="H171" s="3" t="inlineStr"/>
    </row>
    <row r="172">
      <c r="A172" s="3" t="n">
        <v>875</v>
      </c>
      <c r="B172" s="3" t="inlineStr">
        <is>
          <t>—</t>
        </is>
      </c>
      <c r="C172" s="3" t="inlineStr">
        <is>
          <t>Geografie</t>
        </is>
      </c>
      <c r="D172" s="4" t="inlineStr">
        <is>
          <t>Hoeveel landen grenzen aan Argentinië?</t>
        </is>
      </c>
      <c r="E172" s="3" t="n">
        <v>5</v>
      </c>
      <c r="F172" s="3" t="inlineStr">
        <is>
          <t>algemeen naslagwerk</t>
        </is>
      </c>
      <c r="G172" s="4" t="inlineStr">
        <is>
          <t>Handmatig opzoeken; geen vaste bron aan te wijzen.</t>
        </is>
      </c>
      <c r="H172" s="3" t="inlineStr"/>
    </row>
    <row r="173">
      <c r="A173" s="3" t="n">
        <v>880</v>
      </c>
      <c r="B173" s="3" t="inlineStr">
        <is>
          <t>—</t>
        </is>
      </c>
      <c r="C173" s="3" t="inlineStr">
        <is>
          <t>Geografie</t>
        </is>
      </c>
      <c r="D173" s="4" t="inlineStr">
        <is>
          <t>Hoeveel landen grenzen aan Congo-Kinshasa?</t>
        </is>
      </c>
      <c r="E173" s="3" t="n">
        <v>9</v>
      </c>
      <c r="F173" s="3" t="inlineStr">
        <is>
          <t>algemeen naslagwerk</t>
        </is>
      </c>
      <c r="G173" s="4" t="inlineStr">
        <is>
          <t>Handmatig opzoeken; geen vaste bron aan te wijzen.</t>
        </is>
      </c>
      <c r="H173" s="3" t="inlineStr"/>
    </row>
    <row r="174">
      <c r="A174" s="3" t="n">
        <v>884</v>
      </c>
      <c r="B174" s="3" t="inlineStr">
        <is>
          <t>—</t>
        </is>
      </c>
      <c r="C174" s="3" t="inlineStr">
        <is>
          <t>Geografie</t>
        </is>
      </c>
      <c r="D174" s="4" t="inlineStr">
        <is>
          <t>Hoeveel landen grenzen aan Ethiopië?</t>
        </is>
      </c>
      <c r="E174" s="3" t="n">
        <v>6</v>
      </c>
      <c r="F174" s="3" t="inlineStr">
        <is>
          <t>algemeen naslagwerk</t>
        </is>
      </c>
      <c r="G174" s="4" t="inlineStr">
        <is>
          <t>Handmatig opzoeken; geen vaste bron aan te wijzen.</t>
        </is>
      </c>
      <c r="H174" s="3" t="inlineStr"/>
    </row>
    <row r="175">
      <c r="A175" s="3" t="n">
        <v>885</v>
      </c>
      <c r="B175" s="3" t="inlineStr">
        <is>
          <t>—</t>
        </is>
      </c>
      <c r="C175" s="3" t="inlineStr">
        <is>
          <t>Geografie</t>
        </is>
      </c>
      <c r="D175" s="4" t="inlineStr">
        <is>
          <t>Hoeveel landen grenzen aan Frankrijk (vasteland excl. overzeese gebieden)?</t>
        </is>
      </c>
      <c r="E175" s="3" t="n">
        <v>8</v>
      </c>
      <c r="F175" s="3" t="inlineStr">
        <is>
          <t>algemeen naslagwerk</t>
        </is>
      </c>
      <c r="G175" s="4" t="inlineStr">
        <is>
          <t>Handmatig opzoeken; geen vaste bron aan te wijzen.</t>
        </is>
      </c>
      <c r="H175" s="3" t="inlineStr"/>
    </row>
    <row r="176">
      <c r="A176" s="3" t="n">
        <v>887</v>
      </c>
      <c r="B176" s="3" t="inlineStr">
        <is>
          <t>—</t>
        </is>
      </c>
      <c r="C176" s="3" t="inlineStr">
        <is>
          <t>Geografie</t>
        </is>
      </c>
      <c r="D176" s="4" t="inlineStr">
        <is>
          <t>Hoeveel landen grenzen aan Guatemala?</t>
        </is>
      </c>
      <c r="E176" s="3" t="n">
        <v>4</v>
      </c>
      <c r="F176" s="3" t="inlineStr">
        <is>
          <t>algemeen naslagwerk</t>
        </is>
      </c>
      <c r="G176" s="4" t="inlineStr">
        <is>
          <t>Handmatig opzoeken; geen vaste bron aan te wijzen.</t>
        </is>
      </c>
      <c r="H176" s="3" t="inlineStr"/>
    </row>
    <row r="177">
      <c r="A177" s="3" t="n">
        <v>888</v>
      </c>
      <c r="B177" s="3" t="inlineStr">
        <is>
          <t>—</t>
        </is>
      </c>
      <c r="C177" s="3" t="inlineStr">
        <is>
          <t>Geografie</t>
        </is>
      </c>
      <c r="D177" s="4" t="inlineStr">
        <is>
          <t>Hoeveel landen grenzen aan Honduras?</t>
        </is>
      </c>
      <c r="E177" s="3" t="n">
        <v>3</v>
      </c>
      <c r="F177" s="3" t="inlineStr">
        <is>
          <t>algemeen naslagwerk</t>
        </is>
      </c>
      <c r="G177" s="4" t="inlineStr">
        <is>
          <t>Handmatig opzoeken; geen vaste bron aan te wijzen.</t>
        </is>
      </c>
      <c r="H177" s="3" t="inlineStr"/>
    </row>
    <row r="178">
      <c r="A178" s="3" t="n">
        <v>890</v>
      </c>
      <c r="B178" s="3" t="inlineStr">
        <is>
          <t>—</t>
        </is>
      </c>
      <c r="C178" s="3" t="inlineStr">
        <is>
          <t>Geografie</t>
        </is>
      </c>
      <c r="D178" s="4" t="inlineStr">
        <is>
          <t>Hoeveel landen grenzen aan Kameroen?</t>
        </is>
      </c>
      <c r="E178" s="3" t="n">
        <v>6</v>
      </c>
      <c r="F178" s="3" t="inlineStr">
        <is>
          <t>algemeen naslagwerk</t>
        </is>
      </c>
      <c r="G178" s="4" t="inlineStr">
        <is>
          <t>Handmatig opzoeken; geen vaste bron aan te wijzen.</t>
        </is>
      </c>
      <c r="H178" s="3" t="inlineStr"/>
    </row>
    <row r="179">
      <c r="A179" s="3" t="n">
        <v>891</v>
      </c>
      <c r="B179" s="3" t="inlineStr">
        <is>
          <t>—</t>
        </is>
      </c>
      <c r="C179" s="3" t="inlineStr">
        <is>
          <t>Geografie</t>
        </is>
      </c>
      <c r="D179" s="4" t="inlineStr">
        <is>
          <t>Hoeveel landen grenzen aan Kenia?</t>
        </is>
      </c>
      <c r="E179" s="3" t="n">
        <v>5</v>
      </c>
      <c r="F179" s="3" t="inlineStr">
        <is>
          <t>algemeen naslagwerk</t>
        </is>
      </c>
      <c r="G179" s="4" t="inlineStr">
        <is>
          <t>Handmatig opzoeken; geen vaste bron aan te wijzen.</t>
        </is>
      </c>
      <c r="H179" s="3" t="inlineStr"/>
    </row>
    <row r="180">
      <c r="A180" s="3" t="n">
        <v>894</v>
      </c>
      <c r="B180" s="3" t="inlineStr">
        <is>
          <t>—</t>
        </is>
      </c>
      <c r="C180" s="3" t="inlineStr">
        <is>
          <t>Geografie</t>
        </is>
      </c>
      <c r="D180" s="4" t="inlineStr">
        <is>
          <t>Hoeveel landen grenzen aan Mozambique?</t>
        </is>
      </c>
      <c r="E180" s="3" t="n">
        <v>6</v>
      </c>
      <c r="F180" s="3" t="inlineStr">
        <is>
          <t>algemeen naslagwerk</t>
        </is>
      </c>
      <c r="G180" s="4" t="inlineStr">
        <is>
          <t>Handmatig opzoeken; geen vaste bron aan te wijzen.</t>
        </is>
      </c>
      <c r="H180" s="3" t="inlineStr"/>
    </row>
    <row r="181">
      <c r="A181" s="3" t="n">
        <v>898</v>
      </c>
      <c r="B181" s="3" t="inlineStr">
        <is>
          <t>—</t>
        </is>
      </c>
      <c r="C181" s="3" t="inlineStr">
        <is>
          <t>Geografie</t>
        </is>
      </c>
      <c r="D181" s="4" t="inlineStr">
        <is>
          <t>Hoeveel landen grenzen aan Oeganda?</t>
        </is>
      </c>
      <c r="E181" s="3" t="n">
        <v>5</v>
      </c>
      <c r="F181" s="3" t="inlineStr">
        <is>
          <t>algemeen naslagwerk</t>
        </is>
      </c>
      <c r="G181" s="4" t="inlineStr">
        <is>
          <t>Handmatig opzoeken; geen vaste bron aan te wijzen.</t>
        </is>
      </c>
      <c r="H181" s="3" t="inlineStr"/>
    </row>
    <row r="182">
      <c r="A182" s="3" t="n">
        <v>906</v>
      </c>
      <c r="B182" s="3" t="inlineStr">
        <is>
          <t>—</t>
        </is>
      </c>
      <c r="C182" s="3" t="inlineStr">
        <is>
          <t>Geografie</t>
        </is>
      </c>
      <c r="D182" s="4" t="inlineStr">
        <is>
          <t>Hoeveel landen grenzen aan Spanje (vasteland)?</t>
        </is>
      </c>
      <c r="E182" s="3" t="n">
        <v>5</v>
      </c>
      <c r="F182" s="3" t="inlineStr">
        <is>
          <t>algemeen naslagwerk</t>
        </is>
      </c>
      <c r="G182" s="4" t="inlineStr">
        <is>
          <t>Handmatig opzoeken; geen vaste bron aan te wijzen.</t>
        </is>
      </c>
      <c r="H182" s="3" t="inlineStr"/>
    </row>
    <row r="183">
      <c r="A183" s="3" t="n">
        <v>907</v>
      </c>
      <c r="B183" s="3" t="inlineStr">
        <is>
          <t>—</t>
        </is>
      </c>
      <c r="C183" s="3" t="inlineStr">
        <is>
          <t>Geografie</t>
        </is>
      </c>
      <c r="D183" s="4" t="inlineStr">
        <is>
          <t>Hoeveel landen grenzen aan Tanzania?</t>
        </is>
      </c>
      <c r="E183" s="3" t="n">
        <v>8</v>
      </c>
      <c r="F183" s="3" t="inlineStr">
        <is>
          <t>algemeen naslagwerk</t>
        </is>
      </c>
      <c r="G183" s="4" t="inlineStr">
        <is>
          <t>Handmatig opzoeken; geen vaste bron aan te wijzen.</t>
        </is>
      </c>
      <c r="H183" s="3" t="inlineStr"/>
    </row>
    <row r="184">
      <c r="A184" s="3" t="n">
        <v>911</v>
      </c>
      <c r="B184" s="3" t="inlineStr">
        <is>
          <t>—</t>
        </is>
      </c>
      <c r="C184" s="3" t="inlineStr">
        <is>
          <t>Geografie</t>
        </is>
      </c>
      <c r="D184" s="4" t="inlineStr">
        <is>
          <t>Hoeveel landen grenzen aan Zuid-Afrika?</t>
        </is>
      </c>
      <c r="E184" s="3" t="n">
        <v>6</v>
      </c>
      <c r="F184" s="3" t="inlineStr">
        <is>
          <t>algemeen naslagwerk</t>
        </is>
      </c>
      <c r="G184" s="4" t="inlineStr">
        <is>
          <t>Handmatig opzoeken; geen vaste bron aan te wijzen.</t>
        </is>
      </c>
      <c r="H184" s="3" t="inlineStr"/>
    </row>
    <row r="185">
      <c r="A185" s="3" t="n">
        <v>919</v>
      </c>
      <c r="B185" s="3" t="inlineStr">
        <is>
          <t>—</t>
        </is>
      </c>
      <c r="C185" s="3" t="inlineStr">
        <is>
          <t>Geografie</t>
        </is>
      </c>
      <c r="D185" s="4" t="inlineStr">
        <is>
          <t>Hoeveel landen liggen er aan de Middellandse Zee (Noord-Afrika + Europa + Azië)?</t>
        </is>
      </c>
      <c r="E185" s="3" t="n">
        <v>22</v>
      </c>
      <c r="F185" s="3" t="inlineStr">
        <is>
          <t>algemeen naslagwerk</t>
        </is>
      </c>
      <c r="G185" s="4" t="inlineStr">
        <is>
          <t>Handmatig opzoeken; geen vaste bron aan te wijzen.</t>
        </is>
      </c>
      <c r="H185" s="3" t="inlineStr"/>
    </row>
    <row r="186">
      <c r="A186" s="3" t="n">
        <v>920</v>
      </c>
      <c r="B186" s="3" t="inlineStr">
        <is>
          <t>—</t>
        </is>
      </c>
      <c r="C186" s="3" t="inlineStr">
        <is>
          <t>Geografie</t>
        </is>
      </c>
      <c r="D186" s="4" t="inlineStr">
        <is>
          <t>Hoeveel landen telt Europa?</t>
        </is>
      </c>
      <c r="E186" s="3" t="n">
        <v>50</v>
      </c>
      <c r="F186" s="3" t="inlineStr">
        <is>
          <t>algemeen naslagwerk</t>
        </is>
      </c>
      <c r="G186" s="4" t="inlineStr">
        <is>
          <t>Handmatig opzoeken; geen vaste bron aan te wijzen.</t>
        </is>
      </c>
      <c r="H186" s="3" t="inlineStr"/>
    </row>
    <row r="187">
      <c r="A187" s="3" t="n">
        <v>921</v>
      </c>
      <c r="B187" s="3" t="inlineStr">
        <is>
          <t>—</t>
        </is>
      </c>
      <c r="C187" s="3" t="inlineStr">
        <is>
          <t>Geografie</t>
        </is>
      </c>
      <c r="D187" s="4" t="inlineStr">
        <is>
          <t>Hoeveel landen liggen er in Melanesië?</t>
        </is>
      </c>
      <c r="E187" s="3" t="n">
        <v>4</v>
      </c>
      <c r="F187" s="3" t="inlineStr">
        <is>
          <t>algemeen naslagwerk</t>
        </is>
      </c>
      <c r="G187" s="4" t="inlineStr">
        <is>
          <t>Handmatig opzoeken; geen vaste bron aan te wijzen.</t>
        </is>
      </c>
      <c r="H187" s="3" t="inlineStr"/>
    </row>
    <row r="188">
      <c r="A188" s="3" t="n">
        <v>923</v>
      </c>
      <c r="B188" s="3" t="inlineStr">
        <is>
          <t>—</t>
        </is>
      </c>
      <c r="C188" s="3" t="inlineStr">
        <is>
          <t>Geografie</t>
        </is>
      </c>
      <c r="D188" s="4" t="inlineStr">
        <is>
          <t>Hoeveel landen telt Azië?</t>
        </is>
      </c>
      <c r="E188" s="3" t="n">
        <v>49</v>
      </c>
      <c r="F188" s="3" t="inlineStr">
        <is>
          <t>algemeen naslagwerk</t>
        </is>
      </c>
      <c r="G188" s="4" t="inlineStr">
        <is>
          <t>Handmatig opzoeken; geen vaste bron aan te wijzen.</t>
        </is>
      </c>
      <c r="H188" s="3" t="inlineStr"/>
    </row>
    <row r="189">
      <c r="A189" s="3" t="n">
        <v>924</v>
      </c>
      <c r="B189" s="3" t="inlineStr">
        <is>
          <t>—</t>
        </is>
      </c>
      <c r="C189" s="3" t="inlineStr">
        <is>
          <t>Geografie</t>
        </is>
      </c>
      <c r="D189" s="4" t="inlineStr">
        <is>
          <t>Hoeveel landen telt Midden-Amerika?</t>
        </is>
      </c>
      <c r="E189" s="3" t="n">
        <v>7</v>
      </c>
      <c r="F189" s="3" t="inlineStr">
        <is>
          <t>algemeen naslagwerk</t>
        </is>
      </c>
      <c r="G189" s="4" t="inlineStr">
        <is>
          <t>Handmatig opzoeken; geen vaste bron aan te wijzen.</t>
        </is>
      </c>
      <c r="H189" s="3" t="inlineStr"/>
    </row>
    <row r="190">
      <c r="A190" s="3" t="n">
        <v>925</v>
      </c>
      <c r="B190" s="3" t="inlineStr">
        <is>
          <t>—</t>
        </is>
      </c>
      <c r="C190" s="3" t="inlineStr">
        <is>
          <t>Geografie</t>
        </is>
      </c>
      <c r="D190" s="4" t="inlineStr">
        <is>
          <t>Hoeveel landen telt de Sahel-regio?</t>
        </is>
      </c>
      <c r="E190" s="3" t="n">
        <v>10</v>
      </c>
      <c r="F190" s="3" t="inlineStr">
        <is>
          <t>algemeen naslagwerk</t>
        </is>
      </c>
      <c r="G190" s="4" t="inlineStr">
        <is>
          <t>Handmatig opzoeken; geen vaste bron aan te wijzen.</t>
        </is>
      </c>
      <c r="H190" s="3" t="inlineStr"/>
    </row>
    <row r="191">
      <c r="A191" s="3" t="n">
        <v>931</v>
      </c>
      <c r="B191" s="3" t="inlineStr">
        <is>
          <t>—</t>
        </is>
      </c>
      <c r="C191" s="3" t="inlineStr">
        <is>
          <t>Geografie</t>
        </is>
      </c>
      <c r="D191" s="4" t="inlineStr">
        <is>
          <t>Hoeveel meter hoog is de K2?</t>
        </is>
      </c>
      <c r="E191" s="3" t="n">
        <v>8611</v>
      </c>
      <c r="F191" s="3" t="inlineStr">
        <is>
          <t>algemeen naslagwerk</t>
        </is>
      </c>
      <c r="G191" s="4" t="inlineStr">
        <is>
          <t>Handmatig opzoeken; geen vaste bron aan te wijzen.</t>
        </is>
      </c>
      <c r="H191" s="3" t="inlineStr"/>
    </row>
    <row r="192">
      <c r="A192" s="3" t="n">
        <v>943</v>
      </c>
      <c r="B192" s="3" t="inlineStr">
        <is>
          <t>—</t>
        </is>
      </c>
      <c r="C192" s="3" t="inlineStr">
        <is>
          <t>Geografie</t>
        </is>
      </c>
      <c r="D192" s="4" t="inlineStr">
        <is>
          <t>Hoeveel meter hoog zijn de Victoriawatervallen?</t>
        </is>
      </c>
      <c r="E192" s="3" t="n">
        <v>108</v>
      </c>
      <c r="F192" s="3" t="inlineStr">
        <is>
          <t>algemeen naslagwerk</t>
        </is>
      </c>
      <c r="G192" s="4" t="inlineStr">
        <is>
          <t>Handmatig opzoeken; geen vaste bron aan te wijzen.</t>
        </is>
      </c>
      <c r="H192" s="3" t="inlineStr"/>
    </row>
    <row r="193">
      <c r="A193" s="3" t="n">
        <v>949</v>
      </c>
      <c r="B193" s="3" t="inlineStr">
        <is>
          <t>—</t>
        </is>
      </c>
      <c r="C193" s="3" t="inlineStr">
        <is>
          <t>Geografie</t>
        </is>
      </c>
      <c r="D193" s="4" t="inlineStr">
        <is>
          <t>Hoeveel miljoen inwoners heeft Colombia?</t>
        </is>
      </c>
      <c r="E193" s="3" t="n">
        <v>52</v>
      </c>
      <c r="F193" s="3" t="inlineStr">
        <is>
          <t>algemeen naslagwerk</t>
        </is>
      </c>
      <c r="G193" s="4" t="inlineStr">
        <is>
          <t>Handmatig opzoeken; geen vaste bron aan te wijzen.</t>
        </is>
      </c>
      <c r="H193" s="3" t="inlineStr"/>
    </row>
    <row r="194">
      <c r="A194" s="3" t="n">
        <v>950</v>
      </c>
      <c r="B194" s="3" t="inlineStr">
        <is>
          <t>—</t>
        </is>
      </c>
      <c r="C194" s="3" t="inlineStr">
        <is>
          <t>Geografie</t>
        </is>
      </c>
      <c r="D194" s="4" t="inlineStr">
        <is>
          <t>Hoeveel miljoen inwoners heeft Mexico?</t>
        </is>
      </c>
      <c r="E194" s="3" t="n">
        <v>130</v>
      </c>
      <c r="F194" s="3" t="inlineStr">
        <is>
          <t>algemeen naslagwerk</t>
        </is>
      </c>
      <c r="G194" s="4" t="inlineStr">
        <is>
          <t>Handmatig opzoeken; geen vaste bron aan te wijzen.</t>
        </is>
      </c>
      <c r="H194" s="3" t="inlineStr"/>
    </row>
    <row r="195">
      <c r="A195" s="3" t="n">
        <v>951</v>
      </c>
      <c r="B195" s="3" t="inlineStr">
        <is>
          <t>—</t>
        </is>
      </c>
      <c r="C195" s="3" t="inlineStr">
        <is>
          <t>Geografie</t>
        </is>
      </c>
      <c r="D195" s="4" t="inlineStr">
        <is>
          <t>Hoeveel miljoen inwoners heeft Nieuw-Zeeland?</t>
        </is>
      </c>
      <c r="E195" s="3" t="n">
        <v>5</v>
      </c>
      <c r="F195" s="3" t="inlineStr">
        <is>
          <t>algemeen naslagwerk</t>
        </is>
      </c>
      <c r="G195" s="4" t="inlineStr">
        <is>
          <t>Handmatig opzoeken; geen vaste bron aan te wijzen.</t>
        </is>
      </c>
      <c r="H195" s="3" t="inlineStr"/>
    </row>
    <row r="196">
      <c r="A196" s="3" t="n">
        <v>954</v>
      </c>
      <c r="B196" s="3" t="inlineStr">
        <is>
          <t>—</t>
        </is>
      </c>
      <c r="C196" s="3" t="inlineStr">
        <is>
          <t>Geografie</t>
        </is>
      </c>
      <c r="D196" s="4" t="inlineStr">
        <is>
          <t>Hoeveel nationale parken telt de Verenigde Staten?</t>
        </is>
      </c>
      <c r="E196" s="3" t="n">
        <v>63</v>
      </c>
      <c r="F196" s="3" t="inlineStr">
        <is>
          <t>algemeen naslagwerk</t>
        </is>
      </c>
      <c r="G196" s="4" t="inlineStr">
        <is>
          <t>Handmatig opzoeken; geen vaste bron aan te wijzen.</t>
        </is>
      </c>
      <c r="H196" s="3" t="inlineStr"/>
    </row>
    <row r="197">
      <c r="A197" s="3" t="n">
        <v>959</v>
      </c>
      <c r="B197" s="3" t="inlineStr">
        <is>
          <t>—</t>
        </is>
      </c>
      <c r="C197" s="3" t="inlineStr">
        <is>
          <t>Geografie</t>
        </is>
      </c>
      <c r="D197" s="4" t="inlineStr">
        <is>
          <t>Hoeveel procent van Australië is woestijn of droog gebied?</t>
        </is>
      </c>
      <c r="E197" s="3" t="n">
        <v>70</v>
      </c>
      <c r="F197" s="3" t="inlineStr">
        <is>
          <t>algemeen naslagwerk</t>
        </is>
      </c>
      <c r="G197" s="4" t="inlineStr">
        <is>
          <t>Handmatig opzoeken; geen vaste bron aan te wijzen.</t>
        </is>
      </c>
      <c r="H197" s="3" t="inlineStr"/>
    </row>
    <row r="198">
      <c r="A198" s="3" t="n">
        <v>963</v>
      </c>
      <c r="B198" s="3" t="inlineStr">
        <is>
          <t>—</t>
        </is>
      </c>
      <c r="C198" s="3" t="inlineStr">
        <is>
          <t>Geografie</t>
        </is>
      </c>
      <c r="D198" s="4" t="inlineStr">
        <is>
          <t>Hoeveel regio's telt Nieuw-Zeeland?</t>
        </is>
      </c>
      <c r="E198" s="3" t="n">
        <v>16</v>
      </c>
      <c r="F198" s="3" t="inlineStr">
        <is>
          <t>algemeen naslagwerk</t>
        </is>
      </c>
      <c r="G198" s="4" t="inlineStr">
        <is>
          <t>Handmatig opzoeken; geen vaste bron aan te wijzen.</t>
        </is>
      </c>
      <c r="H198" s="3" t="inlineStr"/>
    </row>
    <row r="199">
      <c r="A199" s="3" t="n">
        <v>964</v>
      </c>
      <c r="B199" s="3" t="inlineStr">
        <is>
          <t>—</t>
        </is>
      </c>
      <c r="C199" s="3" t="inlineStr">
        <is>
          <t>Geografie</t>
        </is>
      </c>
      <c r="D199" s="4" t="inlineStr">
        <is>
          <t>Hoeveel staatjes telt Micronesië als federatie?</t>
        </is>
      </c>
      <c r="E199" s="3" t="n">
        <v>4</v>
      </c>
      <c r="F199" s="3" t="inlineStr">
        <is>
          <t>algemeen naslagwerk</t>
        </is>
      </c>
      <c r="G199" s="4" t="inlineStr">
        <is>
          <t>Handmatig opzoeken; geen vaste bron aan te wijzen.</t>
        </is>
      </c>
      <c r="H199" s="3" t="inlineStr"/>
    </row>
    <row r="200">
      <c r="A200" s="3" t="n">
        <v>966</v>
      </c>
      <c r="B200" s="3" t="inlineStr">
        <is>
          <t>—</t>
        </is>
      </c>
      <c r="C200" s="3" t="inlineStr">
        <is>
          <t>Geografie</t>
        </is>
      </c>
      <c r="D200" s="4" t="inlineStr">
        <is>
          <t>Hoeveel sterren staan er op de Amerikaanse vlag?</t>
        </is>
      </c>
      <c r="E200" s="3" t="n">
        <v>50</v>
      </c>
      <c r="F200" s="3" t="inlineStr">
        <is>
          <t>algemeen naslagwerk</t>
        </is>
      </c>
      <c r="G200" s="4" t="inlineStr">
        <is>
          <t>Handmatig opzoeken; geen vaste bron aan te wijzen.</t>
        </is>
      </c>
      <c r="H200" s="3" t="inlineStr"/>
    </row>
    <row r="201">
      <c r="A201" s="3" t="n">
        <v>968</v>
      </c>
      <c r="B201" s="3" t="inlineStr">
        <is>
          <t>—</t>
        </is>
      </c>
      <c r="C201" s="3" t="inlineStr">
        <is>
          <t>Geografie</t>
        </is>
      </c>
      <c r="D201" s="4" t="inlineStr">
        <is>
          <t>Hoeveel territoria heeft Australië naast de staten?</t>
        </is>
      </c>
      <c r="E201" s="3" t="n">
        <v>2</v>
      </c>
      <c r="F201" s="3" t="inlineStr">
        <is>
          <t>algemeen naslagwerk</t>
        </is>
      </c>
      <c r="G201" s="4" t="inlineStr">
        <is>
          <t>Handmatig opzoeken; geen vaste bron aan te wijzen.</t>
        </is>
      </c>
      <c r="H201" s="3" t="inlineStr"/>
    </row>
    <row r="202">
      <c r="A202" s="3" t="n">
        <v>969</v>
      </c>
      <c r="B202" s="3" t="inlineStr">
        <is>
          <t>—</t>
        </is>
      </c>
      <c r="C202" s="3" t="inlineStr">
        <is>
          <t>Geografie</t>
        </is>
      </c>
      <c r="D202" s="4" t="inlineStr">
        <is>
          <t>Hoeveel tijdzones heeft Australië?</t>
        </is>
      </c>
      <c r="E202" s="3" t="n">
        <v>3</v>
      </c>
      <c r="F202" s="3" t="inlineStr">
        <is>
          <t>algemeen naslagwerk</t>
        </is>
      </c>
      <c r="G202" s="4" t="inlineStr">
        <is>
          <t>Handmatig opzoeken; geen vaste bron aan te wijzen.</t>
        </is>
      </c>
      <c r="H202" s="3" t="inlineStr"/>
    </row>
    <row r="203">
      <c r="A203" s="3" t="n">
        <v>970</v>
      </c>
      <c r="B203" s="3" t="inlineStr">
        <is>
          <t>—</t>
        </is>
      </c>
      <c r="C203" s="3" t="inlineStr">
        <is>
          <t>Geografie</t>
        </is>
      </c>
      <c r="D203" s="4" t="inlineStr">
        <is>
          <t>Hoeveel tijdzones heeft Nieuw-Zeeland?</t>
        </is>
      </c>
      <c r="E203" s="3" t="n">
        <v>2</v>
      </c>
      <c r="F203" s="3" t="inlineStr">
        <is>
          <t>algemeen naslagwerk</t>
        </is>
      </c>
      <c r="G203" s="4" t="inlineStr">
        <is>
          <t>Handmatig opzoeken; geen vaste bron aan te wijzen.</t>
        </is>
      </c>
      <c r="H203" s="3" t="inlineStr"/>
    </row>
    <row r="204">
      <c r="A204" s="3" t="n">
        <v>972</v>
      </c>
      <c r="B204" s="3" t="inlineStr">
        <is>
          <t>—</t>
        </is>
      </c>
      <c r="C204" s="3" t="inlineStr">
        <is>
          <t>Geografie</t>
        </is>
      </c>
      <c r="D204" s="4" t="inlineStr">
        <is>
          <t>Hoeveel tijdzones telt het vasteland van de VS?</t>
        </is>
      </c>
      <c r="E204" s="3" t="n">
        <v>4</v>
      </c>
      <c r="F204" s="3" t="inlineStr">
        <is>
          <t>algemeen naslagwerk</t>
        </is>
      </c>
      <c r="G204" s="4" t="inlineStr">
        <is>
          <t>Handmatig opzoeken; geen vaste bron aan te wijzen.</t>
        </is>
      </c>
      <c r="H204" s="3" t="inlineStr"/>
    </row>
    <row r="205">
      <c r="A205" s="3" t="n">
        <v>998</v>
      </c>
      <c r="B205" s="3" t="inlineStr">
        <is>
          <t>—</t>
        </is>
      </c>
      <c r="C205" s="3" t="inlineStr">
        <is>
          <t>Geschiedenis</t>
        </is>
      </c>
      <c r="D205" s="4" t="inlineStr">
        <is>
          <t>Hoeveel jaar duurde de Biafra-oorlog?</t>
        </is>
      </c>
      <c r="E205" s="3" t="n">
        <v>3</v>
      </c>
      <c r="F205" s="3" t="inlineStr">
        <is>
          <t>algemeen naslagwerk</t>
        </is>
      </c>
      <c r="G205" s="4" t="inlineStr">
        <is>
          <t>Handmatig opzoeken; geen vaste bron aan te wijzen.</t>
        </is>
      </c>
      <c r="H205" s="3" t="inlineStr"/>
    </row>
    <row r="206">
      <c r="A206" s="3" t="n">
        <v>1007</v>
      </c>
      <c r="B206" s="3" t="inlineStr">
        <is>
          <t>—</t>
        </is>
      </c>
      <c r="C206" s="3" t="inlineStr">
        <is>
          <t>Geschiedenis</t>
        </is>
      </c>
      <c r="D206" s="4" t="inlineStr">
        <is>
          <t>Hoeveel landen ondertekenden het Verdrag van Rome in 1957?</t>
        </is>
      </c>
      <c r="E206" s="3" t="n">
        <v>6</v>
      </c>
      <c r="F206" s="3" t="inlineStr">
        <is>
          <t>algemeen naslagwerk</t>
        </is>
      </c>
      <c r="G206" s="4" t="inlineStr">
        <is>
          <t>Handmatig opzoeken; geen vaste bron aan te wijzen.</t>
        </is>
      </c>
      <c r="H206" s="3" t="inlineStr"/>
    </row>
    <row r="207">
      <c r="A207" s="3" t="n">
        <v>1008</v>
      </c>
      <c r="B207" s="3" t="inlineStr">
        <is>
          <t>—</t>
        </is>
      </c>
      <c r="C207" s="3" t="inlineStr">
        <is>
          <t>Geschiedenis</t>
        </is>
      </c>
      <c r="D207" s="4" t="inlineStr">
        <is>
          <t>Hoeveel landen waren er bij de oprichting van de NAVO in 1949?</t>
        </is>
      </c>
      <c r="E207" s="3" t="n">
        <v>12</v>
      </c>
      <c r="F207" s="3" t="inlineStr">
        <is>
          <t>algemeen naslagwerk</t>
        </is>
      </c>
      <c r="G207" s="4" t="inlineStr">
        <is>
          <t>Handmatig opzoeken; geen vaste bron aan te wijzen.</t>
        </is>
      </c>
      <c r="H207" s="3" t="inlineStr"/>
    </row>
    <row r="208">
      <c r="A208" s="3" t="n">
        <v>1024</v>
      </c>
      <c r="B208" s="3" t="inlineStr">
        <is>
          <t>—</t>
        </is>
      </c>
      <c r="C208" s="3" t="inlineStr">
        <is>
          <t>Dagelijks leven</t>
        </is>
      </c>
      <c r="D208" s="4" t="inlineStr">
        <is>
          <t>Hoeveel vel papier zitten er in een standaard riem printpapier?</t>
        </is>
      </c>
      <c r="E208" s="3" t="n">
        <v>500</v>
      </c>
      <c r="F208" s="3" t="inlineStr">
        <is>
          <t>algemeen naslagwerk</t>
        </is>
      </c>
      <c r="G208" s="4" t="inlineStr">
        <is>
          <t>Handmatig opzoeken; geen vaste bron aan te wijzen.</t>
        </is>
      </c>
      <c r="H208" s="3" t="inlineStr"/>
    </row>
    <row r="209">
      <c r="A209" s="3" t="n">
        <v>1060</v>
      </c>
      <c r="B209" s="3" t="inlineStr">
        <is>
          <t>—</t>
        </is>
      </c>
      <c r="C209" s="3" t="inlineStr">
        <is>
          <t>Kunst en cultuur</t>
        </is>
      </c>
      <c r="D209" s="4" t="inlineStr">
        <is>
          <t>Hoeveel bezoekers ontving het Louvre in 2023?</t>
        </is>
      </c>
      <c r="E209" s="3" t="n">
        <v>8900000</v>
      </c>
      <c r="F209" s="3" t="inlineStr">
        <is>
          <t>algemeen naslagwerk</t>
        </is>
      </c>
      <c r="G209" s="4" t="inlineStr">
        <is>
          <t>Handmatig opzoeken; geen vaste bron aan te wijzen.</t>
        </is>
      </c>
      <c r="H209" s="3" t="inlineStr"/>
    </row>
    <row r="210">
      <c r="A210" s="3" t="n">
        <v>1062</v>
      </c>
      <c r="B210" s="3" t="inlineStr">
        <is>
          <t>—</t>
        </is>
      </c>
      <c r="C210" s="3" t="inlineStr">
        <is>
          <t>Kunst en cultuur</t>
        </is>
      </c>
      <c r="D210" s="4" t="inlineStr">
        <is>
          <t>Hoeveel kilogram weegt de Moai-beelden op Paaseiland gemiddeld?</t>
        </is>
      </c>
      <c r="E210" s="3" t="n">
        <v>12500</v>
      </c>
      <c r="F210" s="3" t="inlineStr">
        <is>
          <t>algemeen naslagwerk</t>
        </is>
      </c>
      <c r="G210" s="4" t="inlineStr">
        <is>
          <t>Handmatig opzoeken; geen vaste bron aan te wijzen.</t>
        </is>
      </c>
      <c r="H210" s="3" t="inlineStr"/>
    </row>
    <row r="211">
      <c r="A211" s="3" t="n">
        <v>1064</v>
      </c>
      <c r="B211" s="3" t="inlineStr">
        <is>
          <t>—</t>
        </is>
      </c>
      <c r="C211" s="3" t="inlineStr">
        <is>
          <t>Kunst en cultuur</t>
        </is>
      </c>
      <c r="D211" s="4" t="inlineStr">
        <is>
          <t>Hoeveel officiële UNESCO-werelderfgoedlocaties heeft China volgens de UNESCO-werelderfgoedlijst?</t>
        </is>
      </c>
      <c r="E211" s="3" t="n">
        <v>59</v>
      </c>
      <c r="F211" s="3" t="inlineStr">
        <is>
          <t>algemeen naslagwerk</t>
        </is>
      </c>
      <c r="G211" s="4" t="inlineStr">
        <is>
          <t>Handmatig opzoeken; geen vaste bron aan te wijzen.</t>
        </is>
      </c>
      <c r="H211" s="3" t="inlineStr"/>
    </row>
    <row r="212">
      <c r="A212" s="3" t="n">
        <v>1065</v>
      </c>
      <c r="B212" s="3" t="inlineStr">
        <is>
          <t>—</t>
        </is>
      </c>
      <c r="C212" s="3" t="inlineStr">
        <is>
          <t>Kunst en cultuur</t>
        </is>
      </c>
      <c r="D212" s="4" t="inlineStr">
        <is>
          <t>Hoeveel officiële UNESCO-werelderfgoedlocaties heeft Duitsland volgens de UNESCO-werelderfgoedlijst?</t>
        </is>
      </c>
      <c r="E212" s="3" t="n">
        <v>54</v>
      </c>
      <c r="F212" s="3" t="inlineStr">
        <is>
          <t>algemeen naslagwerk</t>
        </is>
      </c>
      <c r="G212" s="4" t="inlineStr">
        <is>
          <t>Handmatig opzoeken; geen vaste bron aan te wijzen.</t>
        </is>
      </c>
      <c r="H212" s="3" t="inlineStr"/>
    </row>
    <row r="213">
      <c r="A213" s="3" t="n">
        <v>1067</v>
      </c>
      <c r="B213" s="3" t="inlineStr">
        <is>
          <t>—</t>
        </is>
      </c>
      <c r="C213" s="3" t="inlineStr">
        <is>
          <t>Kunst en cultuur</t>
        </is>
      </c>
      <c r="D213" s="4" t="inlineStr">
        <is>
          <t>Hoeveel panelen telt het Lam Gods van Van Eyck?</t>
        </is>
      </c>
      <c r="E213" s="3" t="n">
        <v>12</v>
      </c>
      <c r="F213" s="3" t="inlineStr">
        <is>
          <t>algemeen naslagwerk</t>
        </is>
      </c>
      <c r="G213" s="4" t="inlineStr">
        <is>
          <t>Handmatig opzoeken; geen vaste bron aan te wijzen.</t>
        </is>
      </c>
      <c r="H213" s="3" t="inlineStr"/>
    </row>
    <row r="214">
      <c r="A214" s="3" t="n">
        <v>1102</v>
      </c>
      <c r="B214" s="3" t="inlineStr">
        <is>
          <t>—</t>
        </is>
      </c>
      <c r="C214" s="3" t="inlineStr">
        <is>
          <t>Mode en lifestyle</t>
        </is>
      </c>
      <c r="D214" s="4" t="inlineStr">
        <is>
          <t>Hoeveel knopen heeft een standaard overhemd meestal aan de voorkant?</t>
        </is>
      </c>
      <c r="E214" s="3" t="n">
        <v>7</v>
      </c>
      <c r="F214" s="3" t="inlineStr">
        <is>
          <t>algemeen naslagwerk</t>
        </is>
      </c>
      <c r="G214" s="4" t="inlineStr">
        <is>
          <t>Handmatig opzoeken; geen vaste bron aan te wijzen.</t>
        </is>
      </c>
      <c r="H214" s="3" t="inlineStr"/>
    </row>
    <row r="215">
      <c r="A215" s="3" t="n">
        <v>1105</v>
      </c>
      <c r="B215" s="3" t="inlineStr">
        <is>
          <t>—</t>
        </is>
      </c>
      <c r="C215" s="3" t="inlineStr">
        <is>
          <t>Muziek</t>
        </is>
      </c>
      <c r="D215" s="4" t="inlineStr">
        <is>
          <t>Hoeveel Grammy's won AC/DC?</t>
        </is>
      </c>
      <c r="E215" s="3" t="n">
        <v>1</v>
      </c>
      <c r="F215" s="3" t="inlineStr">
        <is>
          <t>algemeen naslagwerk</t>
        </is>
      </c>
      <c r="G215" s="4" t="inlineStr">
        <is>
          <t>Handmatig opzoeken; geen vaste bron aan te wijzen.</t>
        </is>
      </c>
      <c r="H215" s="3" t="inlineStr"/>
    </row>
    <row r="216">
      <c r="A216" s="3" t="n">
        <v>1107</v>
      </c>
      <c r="B216" s="3" t="inlineStr">
        <is>
          <t>—</t>
        </is>
      </c>
      <c r="C216" s="3" t="inlineStr">
        <is>
          <t>Muziek</t>
        </is>
      </c>
      <c r="D216" s="4" t="inlineStr">
        <is>
          <t>Hoeveel albums bracht AC/DC uit tot 2024 (studioalbums)?</t>
        </is>
      </c>
      <c r="E216" s="3" t="n">
        <v>17</v>
      </c>
      <c r="F216" s="3" t="inlineStr">
        <is>
          <t>algemeen naslagwerk</t>
        </is>
      </c>
      <c r="G216" s="4" t="inlineStr">
        <is>
          <t>Handmatig opzoeken; geen vaste bron aan te wijzen.</t>
        </is>
      </c>
      <c r="H216" s="3" t="inlineStr"/>
    </row>
    <row r="217">
      <c r="A217" s="3" t="n">
        <v>1109</v>
      </c>
      <c r="B217" s="3" t="inlineStr">
        <is>
          <t>—</t>
        </is>
      </c>
      <c r="C217" s="3" t="inlineStr">
        <is>
          <t>Muziek</t>
        </is>
      </c>
      <c r="D217" s="4" t="inlineStr">
        <is>
          <t>Hoeveel dansstijlen worden er klassiek onderscheiden in de Cubaanse rumba-familie (drie hoofdstijlen)?</t>
        </is>
      </c>
      <c r="E217" s="3" t="n">
        <v>3</v>
      </c>
      <c r="F217" s="3" t="inlineStr">
        <is>
          <t>algemeen naslagwerk</t>
        </is>
      </c>
      <c r="G217" s="4" t="inlineStr">
        <is>
          <t>Handmatig opzoeken; geen vaste bron aan te wijzen.</t>
        </is>
      </c>
      <c r="H217" s="3" t="inlineStr"/>
    </row>
    <row r="218">
      <c r="A218" s="3" t="n">
        <v>1112</v>
      </c>
      <c r="B218" s="3" t="inlineStr">
        <is>
          <t>—</t>
        </is>
      </c>
      <c r="C218" s="3" t="inlineStr">
        <is>
          <t>Muziek</t>
        </is>
      </c>
      <c r="D218" s="4" t="inlineStr">
        <is>
          <t>Hoeveel muzikanten telt een klassieke mariachiband?</t>
        </is>
      </c>
      <c r="E218" s="3" t="n">
        <v>10</v>
      </c>
      <c r="F218" s="3" t="inlineStr">
        <is>
          <t>algemeen naslagwerk</t>
        </is>
      </c>
      <c r="G218" s="4" t="inlineStr">
        <is>
          <t>Handmatig opzoeken; geen vaste bron aan te wijzen.</t>
        </is>
      </c>
      <c r="H218" s="3" t="inlineStr"/>
    </row>
    <row r="219">
      <c r="A219" s="3" t="n">
        <v>1116</v>
      </c>
      <c r="B219" s="3" t="inlineStr">
        <is>
          <t>—</t>
        </is>
      </c>
      <c r="C219" s="3" t="inlineStr">
        <is>
          <t>Muziek</t>
        </is>
      </c>
      <c r="D219" s="4" t="inlineStr">
        <is>
          <t>Hoeveel snaarinstrumenten bevat de klassieke Japanse koto-ensemble van hoort?</t>
        </is>
      </c>
      <c r="E219" s="3" t="n">
        <v>13</v>
      </c>
      <c r="F219" s="3" t="inlineStr">
        <is>
          <t>algemeen naslagwerk</t>
        </is>
      </c>
      <c r="G219" s="4" t="inlineStr">
        <is>
          <t>Handmatig opzoeken; geen vaste bron aan te wijzen.</t>
        </is>
      </c>
      <c r="H219" s="3" t="inlineStr"/>
    </row>
    <row r="220">
      <c r="A220" s="3" t="n">
        <v>1117</v>
      </c>
      <c r="B220" s="3" t="inlineStr">
        <is>
          <t>—</t>
        </is>
      </c>
      <c r="C220" s="3" t="inlineStr">
        <is>
          <t>Muziek</t>
        </is>
      </c>
      <c r="D220" s="4" t="inlineStr">
        <is>
          <t>Hoeveel snaren heeft de Ethiopische krar?</t>
        </is>
      </c>
      <c r="E220" s="3" t="n">
        <v>6</v>
      </c>
      <c r="F220" s="3" t="inlineStr">
        <is>
          <t>algemeen naslagwerk</t>
        </is>
      </c>
      <c r="G220" s="4" t="inlineStr">
        <is>
          <t>Handmatig opzoeken; geen vaste bron aan te wijzen.</t>
        </is>
      </c>
      <c r="H220" s="3" t="inlineStr"/>
    </row>
    <row r="221">
      <c r="A221" s="3" t="n">
        <v>1118</v>
      </c>
      <c r="B221" s="3" t="inlineStr">
        <is>
          <t>—</t>
        </is>
      </c>
      <c r="C221" s="3" t="inlineStr">
        <is>
          <t>Muziek</t>
        </is>
      </c>
      <c r="D221" s="4" t="inlineStr">
        <is>
          <t>Hoeveel snaren heeft een Indiase sitar?</t>
        </is>
      </c>
      <c r="E221" s="3" t="n">
        <v>20</v>
      </c>
      <c r="F221" s="3" t="inlineStr">
        <is>
          <t>algemeen naslagwerk</t>
        </is>
      </c>
      <c r="G221" s="4" t="inlineStr">
        <is>
          <t>Handmatig opzoeken; geen vaste bron aan te wijzen.</t>
        </is>
      </c>
      <c r="H221" s="3" t="inlineStr"/>
    </row>
    <row r="222">
      <c r="A222" s="3" t="n">
        <v>1119</v>
      </c>
      <c r="B222" s="3" t="inlineStr">
        <is>
          <t>—</t>
        </is>
      </c>
      <c r="C222" s="3" t="inlineStr">
        <is>
          <t>Muziek</t>
        </is>
      </c>
      <c r="D222" s="4" t="inlineStr">
        <is>
          <t>Hoeveel snaren heeft de West-Afrikaanse djembé als trommel?</t>
        </is>
      </c>
      <c r="E222" s="3" t="n">
        <v>0</v>
      </c>
      <c r="F222" s="3" t="inlineStr">
        <is>
          <t>algemeen naslagwerk</t>
        </is>
      </c>
      <c r="G222" s="4" t="inlineStr">
        <is>
          <t>Handmatig opzoeken; geen vaste bron aan te wijzen.</t>
        </is>
      </c>
      <c r="H222" s="3" t="inlineStr"/>
    </row>
    <row r="223">
      <c r="A223" s="3" t="n">
        <v>1121</v>
      </c>
      <c r="B223" s="3" t="inlineStr">
        <is>
          <t>—</t>
        </is>
      </c>
      <c r="C223" s="3" t="inlineStr">
        <is>
          <t>Muziek</t>
        </is>
      </c>
      <c r="D223" s="4" t="inlineStr">
        <is>
          <t>Hoeveel snaren heeft de klassieke Afrikaanse kora traditioneel?</t>
        </is>
      </c>
      <c r="E223" s="3" t="n">
        <v>21</v>
      </c>
      <c r="F223" s="3" t="inlineStr">
        <is>
          <t>algemeen naslagwerk</t>
        </is>
      </c>
      <c r="G223" s="4" t="inlineStr">
        <is>
          <t>Handmatig opzoeken; geen vaste bron aan te wijzen.</t>
        </is>
      </c>
      <c r="H223" s="3" t="inlineStr"/>
    </row>
    <row r="224">
      <c r="A224" s="3" t="n">
        <v>1123</v>
      </c>
      <c r="B224" s="3" t="inlineStr">
        <is>
          <t>—</t>
        </is>
      </c>
      <c r="C224" s="3" t="inlineStr">
        <is>
          <t>Muziek</t>
        </is>
      </c>
      <c r="D224" s="4" t="inlineStr">
        <is>
          <t>Hoeveel snaren heeft de klassieke Colombiaanse tiple?</t>
        </is>
      </c>
      <c r="E224" s="3" t="n">
        <v>12</v>
      </c>
      <c r="F224" s="3" t="inlineStr">
        <is>
          <t>algemeen naslagwerk</t>
        </is>
      </c>
      <c r="G224" s="4" t="inlineStr">
        <is>
          <t>Handmatig opzoeken; geen vaste bron aan te wijzen.</t>
        </is>
      </c>
      <c r="H224" s="3" t="inlineStr"/>
    </row>
    <row r="225">
      <c r="A225" s="3" t="n">
        <v>1124</v>
      </c>
      <c r="B225" s="3" t="inlineStr">
        <is>
          <t>—</t>
        </is>
      </c>
      <c r="C225" s="3" t="inlineStr">
        <is>
          <t>Muziek</t>
        </is>
      </c>
      <c r="D225" s="4" t="inlineStr">
        <is>
          <t>Hoeveel snaren heeft de klassieke Mexicaanse mariachi-gitarron (bajo sexto)?</t>
        </is>
      </c>
      <c r="E225" s="3" t="n">
        <v>12</v>
      </c>
      <c r="F225" s="3" t="inlineStr">
        <is>
          <t>algemeen naslagwerk</t>
        </is>
      </c>
      <c r="G225" s="4" t="inlineStr">
        <is>
          <t>Handmatig opzoeken; geen vaste bron aan te wijzen.</t>
        </is>
      </c>
      <c r="H225" s="3" t="inlineStr"/>
    </row>
    <row r="226">
      <c r="A226" s="3" t="n">
        <v>1125</v>
      </c>
      <c r="B226" s="3" t="inlineStr">
        <is>
          <t>—</t>
        </is>
      </c>
      <c r="C226" s="3" t="inlineStr">
        <is>
          <t>Muziek</t>
        </is>
      </c>
      <c r="D226" s="4" t="inlineStr">
        <is>
          <t>Hoeveel snaren heeft een klassieke Japanse koto?</t>
        </is>
      </c>
      <c r="E226" s="3" t="n">
        <v>13</v>
      </c>
      <c r="F226" s="3" t="inlineStr">
        <is>
          <t>algemeen naslagwerk</t>
        </is>
      </c>
      <c r="G226" s="4" t="inlineStr">
        <is>
          <t>Handmatig opzoeken; geen vaste bron aan te wijzen.</t>
        </is>
      </c>
      <c r="H226" s="3" t="inlineStr"/>
    </row>
    <row r="227">
      <c r="A227" s="3" t="n">
        <v>1128</v>
      </c>
      <c r="B227" s="3" t="inlineStr">
        <is>
          <t>—</t>
        </is>
      </c>
      <c r="C227" s="3" t="inlineStr">
        <is>
          <t>Muziek</t>
        </is>
      </c>
      <c r="D227" s="4" t="inlineStr">
        <is>
          <t>Hoeveel streams had Die With a Smile volgens Spotify’s 2025-lijst?</t>
        </is>
      </c>
      <c r="E227" s="3" t="n">
        <v>3442143544</v>
      </c>
      <c r="F227" s="3" t="inlineStr">
        <is>
          <t>algemeen naslagwerk</t>
        </is>
      </c>
      <c r="G227" s="4" t="inlineStr">
        <is>
          <t>Handmatig opzoeken; geen vaste bron aan te wijzen.</t>
        </is>
      </c>
      <c r="H227" s="3" t="inlineStr"/>
    </row>
    <row r="228">
      <c r="A228" s="3" t="n">
        <v>1129</v>
      </c>
      <c r="B228" s="3" t="inlineStr">
        <is>
          <t>—</t>
        </is>
      </c>
      <c r="C228" s="3" t="inlineStr">
        <is>
          <t>Muziek</t>
        </is>
      </c>
      <c r="D228" s="4" t="inlineStr">
        <is>
          <t>Hoeveel studioalbums bracht Kylie Minogue uit?</t>
        </is>
      </c>
      <c r="E228" s="3" t="n">
        <v>16</v>
      </c>
      <c r="F228" s="3" t="inlineStr">
        <is>
          <t>algemeen naslagwerk</t>
        </is>
      </c>
      <c r="G228" s="4" t="inlineStr">
        <is>
          <t>Handmatig opzoeken; geen vaste bron aan te wijzen.</t>
        </is>
      </c>
      <c r="H228" s="3" t="inlineStr"/>
    </row>
    <row r="229">
      <c r="A229" s="3" t="n">
        <v>1131</v>
      </c>
      <c r="B229" s="3" t="inlineStr">
        <is>
          <t>—</t>
        </is>
      </c>
      <c r="C229" s="3" t="inlineStr">
        <is>
          <t>Muziek</t>
        </is>
      </c>
      <c r="D229" s="4" t="inlineStr">
        <is>
          <t>Hoeveel studioalbums bracht The Beatles uit in het Verenigd Koninkrijk?</t>
        </is>
      </c>
      <c r="E229" s="3" t="n">
        <v>12</v>
      </c>
      <c r="F229" s="3" t="inlineStr">
        <is>
          <t>algemeen naslagwerk</t>
        </is>
      </c>
      <c r="G229" s="4" t="inlineStr">
        <is>
          <t>Handmatig opzoeken; geen vaste bron aan te wijzen.</t>
        </is>
      </c>
      <c r="H229" s="3" t="inlineStr"/>
    </row>
    <row r="230">
      <c r="A230" s="3" t="n">
        <v>1134</v>
      </c>
      <c r="B230" s="3" t="inlineStr">
        <is>
          <t>—</t>
        </is>
      </c>
      <c r="C230" s="3" t="inlineStr">
        <is>
          <t>Natuurkunde</t>
        </is>
      </c>
      <c r="D230" s="4" t="inlineStr">
        <is>
          <t>Hoeveel decibel veroorzaakt een gemiddeld gesprek op normale toon?</t>
        </is>
      </c>
      <c r="E230" s="3" t="n">
        <v>60</v>
      </c>
      <c r="F230" s="3" t="inlineStr">
        <is>
          <t>algemeen naslagwerk</t>
        </is>
      </c>
      <c r="G230" s="4" t="inlineStr">
        <is>
          <t>Handmatig opzoeken; geen vaste bron aan te wijzen.</t>
        </is>
      </c>
      <c r="H230" s="3" t="inlineStr"/>
    </row>
    <row r="231">
      <c r="A231" s="3" t="n">
        <v>1138</v>
      </c>
      <c r="B231" s="3" t="inlineStr">
        <is>
          <t>—</t>
        </is>
      </c>
      <c r="C231" s="3" t="inlineStr">
        <is>
          <t>Geografie</t>
        </is>
      </c>
      <c r="D231" s="4" t="inlineStr">
        <is>
          <t>Hoeveel meter diep is de Challengerdiepte in de Marianentrog?</t>
        </is>
      </c>
      <c r="E231" s="3" t="n">
        <v>10935</v>
      </c>
      <c r="F231" s="3" t="inlineStr">
        <is>
          <t>algemeen naslagwerk</t>
        </is>
      </c>
      <c r="G231" s="4" t="inlineStr">
        <is>
          <t>Handmatig opzoeken; geen vaste bron aan te wijzen.</t>
        </is>
      </c>
      <c r="H231" s="3" t="inlineStr"/>
    </row>
    <row r="232">
      <c r="A232" s="3" t="n">
        <v>1144</v>
      </c>
      <c r="B232" s="3" t="inlineStr">
        <is>
          <t>—</t>
        </is>
      </c>
      <c r="C232" s="3" t="inlineStr">
        <is>
          <t>Geschiedenis</t>
        </is>
      </c>
      <c r="D232" s="4" t="inlineStr">
        <is>
          <t>Hoeveel Hollandse waterlijnen kent de oude Nederlandsche Waterlinie?</t>
        </is>
      </c>
      <c r="E232" s="3" t="n">
        <v>3</v>
      </c>
      <c r="F232" s="3" t="inlineStr">
        <is>
          <t>algemeen naslagwerk</t>
        </is>
      </c>
      <c r="G232" s="4" t="inlineStr">
        <is>
          <t>Handmatig opzoeken; geen vaste bron aan te wijzen.</t>
        </is>
      </c>
      <c r="H232" s="3" t="inlineStr"/>
    </row>
    <row r="233">
      <c r="A233" s="3" t="n">
        <v>1146</v>
      </c>
      <c r="B233" s="3" t="inlineStr">
        <is>
          <t>—</t>
        </is>
      </c>
      <c r="C233" s="3" t="inlineStr">
        <is>
          <t>Dagelijks leven</t>
        </is>
      </c>
      <c r="D233" s="4" t="inlineStr">
        <is>
          <t>Hoeveel NL-postcodes cijfers heeft een Nederlandse postcode standaard (vier cijfers plus twee letters)?</t>
        </is>
      </c>
      <c r="E233" s="3" t="n">
        <v>4</v>
      </c>
      <c r="F233" s="3" t="inlineStr">
        <is>
          <t>algemeen naslagwerk</t>
        </is>
      </c>
      <c r="G233" s="4" t="inlineStr">
        <is>
          <t>Handmatig opzoeken; geen vaste bron aan te wijzen.</t>
        </is>
      </c>
      <c r="H233" s="3" t="inlineStr"/>
    </row>
    <row r="234">
      <c r="A234" s="3" t="n">
        <v>1147</v>
      </c>
      <c r="B234" s="3" t="inlineStr">
        <is>
          <t>—</t>
        </is>
      </c>
      <c r="C234" s="3" t="inlineStr">
        <is>
          <t>Geschiedenis</t>
        </is>
      </c>
      <c r="D234" s="4" t="inlineStr">
        <is>
          <t>Hoeveel Nederlandse Nobelprijswinnaars zijn er?</t>
        </is>
      </c>
      <c r="E234" s="3" t="n">
        <v>21</v>
      </c>
      <c r="F234" s="3" t="inlineStr">
        <is>
          <t>algemeen naslagwerk</t>
        </is>
      </c>
      <c r="G234" s="4" t="inlineStr">
        <is>
          <t>Handmatig opzoeken; geen vaste bron aan te wijzen.</t>
        </is>
      </c>
      <c r="H234" s="3" t="inlineStr"/>
    </row>
    <row r="235">
      <c r="A235" s="3" t="n">
        <v>1148</v>
      </c>
      <c r="B235" s="3" t="inlineStr">
        <is>
          <t>—</t>
        </is>
      </c>
      <c r="C235" s="3" t="inlineStr">
        <is>
          <t>Sterrenkunde &amp; ruimte</t>
        </is>
      </c>
      <c r="D235" s="4" t="inlineStr">
        <is>
          <t>Hoeveel Nederlandse astronauten zijn er naar de ruimte gevlogen?</t>
        </is>
      </c>
      <c r="E235" s="3" t="n">
        <v>3</v>
      </c>
      <c r="F235" s="3" t="inlineStr">
        <is>
          <t>algemeen naslagwerk</t>
        </is>
      </c>
      <c r="G235" s="4" t="inlineStr">
        <is>
          <t>Handmatig opzoeken; geen vaste bron aan te wijzen.</t>
        </is>
      </c>
      <c r="H235" s="3" t="inlineStr"/>
    </row>
    <row r="236">
      <c r="A236" s="3" t="n">
        <v>1154</v>
      </c>
      <c r="B236" s="3" t="inlineStr">
        <is>
          <t>—</t>
        </is>
      </c>
      <c r="C236" s="3" t="inlineStr">
        <is>
          <t>Taal</t>
        </is>
      </c>
      <c r="D236" s="4" t="inlineStr">
        <is>
          <t>Hoeveel duizend bladzijden telt het Woordenboek der Nederlandsche Taal?</t>
        </is>
      </c>
      <c r="E236" s="3" t="n">
        <v>45</v>
      </c>
      <c r="F236" s="3" t="inlineStr">
        <is>
          <t>algemeen naslagwerk</t>
        </is>
      </c>
      <c r="G236" s="4" t="inlineStr">
        <is>
          <t>Handmatig opzoeken; geen vaste bron aan te wijzen.</t>
        </is>
      </c>
      <c r="H236" s="3" t="inlineStr"/>
    </row>
    <row r="237">
      <c r="A237" s="3" t="n">
        <v>1155</v>
      </c>
      <c r="B237" s="3" t="inlineStr">
        <is>
          <t>—</t>
        </is>
      </c>
      <c r="C237" s="3" t="inlineStr">
        <is>
          <t>Muziek</t>
        </is>
      </c>
      <c r="D237" s="4" t="inlineStr">
        <is>
          <t>Hoeveel bruggen telt het klassieke orkestnummer Bruggetje van Sainte Anneï in de titel niet?</t>
        </is>
      </c>
      <c r="E237" s="3" t="n">
        <v>0</v>
      </c>
      <c r="F237" s="3" t="inlineStr">
        <is>
          <t>algemeen naslagwerk</t>
        </is>
      </c>
      <c r="G237" s="4" t="inlineStr">
        <is>
          <t>Handmatig opzoeken; geen vaste bron aan te wijzen.</t>
        </is>
      </c>
      <c r="H237" s="3" t="inlineStr"/>
    </row>
    <row r="238">
      <c r="A238" s="3" t="n">
        <v>1156</v>
      </c>
      <c r="B238" s="3" t="inlineStr">
        <is>
          <t>—</t>
        </is>
      </c>
      <c r="C238" s="3" t="inlineStr">
        <is>
          <t>Sport</t>
        </is>
      </c>
      <c r="D238" s="4" t="inlineStr">
        <is>
          <t>Hoeveel dagen duurt de Alvleeskliervlaamse Wielerweek Vredeskoers niet?</t>
        </is>
      </c>
      <c r="E238" s="3" t="n">
        <v>0</v>
      </c>
      <c r="F238" s="3" t="inlineStr">
        <is>
          <t>algemeen naslagwerk</t>
        </is>
      </c>
      <c r="G238" s="4" t="inlineStr">
        <is>
          <t>Handmatig opzoeken; geen vaste bron aan te wijzen.</t>
        </is>
      </c>
      <c r="H238" s="3" t="inlineStr"/>
    </row>
    <row r="239">
      <c r="A239" s="3" t="n">
        <v>1157</v>
      </c>
      <c r="B239" s="3" t="inlineStr">
        <is>
          <t>—</t>
        </is>
      </c>
      <c r="C239" s="3" t="inlineStr">
        <is>
          <t>Kunst en cultuur</t>
        </is>
      </c>
      <c r="D239" s="4" t="inlineStr">
        <is>
          <t>Hoeveel dagen duurt de Nederlands Dans Theater-productie Stop-Motion doorgaans per seizoensblok?</t>
        </is>
      </c>
      <c r="E239" s="3" t="n">
        <v>3</v>
      </c>
      <c r="F239" s="3" t="inlineStr">
        <is>
          <t>algemeen naslagwerk</t>
        </is>
      </c>
      <c r="G239" s="4" t="inlineStr">
        <is>
          <t>Handmatig opzoeken; geen vaste bron aan te wijzen.</t>
        </is>
      </c>
      <c r="H239" s="3" t="inlineStr"/>
    </row>
    <row r="240">
      <c r="A240" s="3" t="n">
        <v>1162</v>
      </c>
      <c r="B240" s="3" t="inlineStr">
        <is>
          <t>—</t>
        </is>
      </c>
      <c r="C240" s="3" t="inlineStr">
        <is>
          <t>Geografie</t>
        </is>
      </c>
      <c r="D240" s="4" t="inlineStr">
        <is>
          <t>Hoeveel duizend inwoners heeft Rotterdam?</t>
        </is>
      </c>
      <c r="E240" s="3" t="n">
        <v>670</v>
      </c>
      <c r="F240" s="3" t="inlineStr">
        <is>
          <t>algemeen naslagwerk</t>
        </is>
      </c>
      <c r="G240" s="4" t="inlineStr">
        <is>
          <t>Handmatig opzoeken; geen vaste bron aan te wijzen.</t>
        </is>
      </c>
      <c r="H240" s="3" t="inlineStr"/>
    </row>
    <row r="241">
      <c r="A241" s="3" t="n">
        <v>1167</v>
      </c>
      <c r="B241" s="3" t="inlineStr">
        <is>
          <t>—</t>
        </is>
      </c>
      <c r="C241" s="3" t="inlineStr">
        <is>
          <t>Geografie</t>
        </is>
      </c>
      <c r="D241" s="4" t="inlineStr">
        <is>
          <t>Hoeveel graden Celsius is de gemiddelde zomertemperatuur in Nederland?</t>
        </is>
      </c>
      <c r="E241" s="3" t="n">
        <v>18</v>
      </c>
      <c r="F241" s="3" t="inlineStr">
        <is>
          <t>algemeen naslagwerk</t>
        </is>
      </c>
      <c r="G241" s="4" t="inlineStr">
        <is>
          <t>Handmatig opzoeken; geen vaste bron aan te wijzen.</t>
        </is>
      </c>
      <c r="H241" s="3" t="inlineStr"/>
    </row>
    <row r="242">
      <c r="A242" s="3" t="n">
        <v>1170</v>
      </c>
      <c r="B242" s="3" t="inlineStr">
        <is>
          <t>—</t>
        </is>
      </c>
      <c r="C242" s="3" t="inlineStr">
        <is>
          <t>Eten &amp; drinken</t>
        </is>
      </c>
      <c r="D242" s="4" t="inlineStr">
        <is>
          <t>Hoeveel gram boter gaat in de klassieke Nederlandse boterkoek per 10 porties?</t>
        </is>
      </c>
      <c r="E242" s="3" t="n">
        <v>250</v>
      </c>
      <c r="F242" s="3" t="inlineStr">
        <is>
          <t>algemeen naslagwerk</t>
        </is>
      </c>
      <c r="G242" s="4" t="inlineStr">
        <is>
          <t>Handmatig opzoeken; geen vaste bron aan te wijzen.</t>
        </is>
      </c>
      <c r="H242" s="3" t="inlineStr"/>
    </row>
    <row r="243">
      <c r="A243" s="3" t="n">
        <v>1172</v>
      </c>
      <c r="B243" s="3" t="inlineStr">
        <is>
          <t>—</t>
        </is>
      </c>
      <c r="C243" s="3" t="inlineStr">
        <is>
          <t>Eten &amp; drinken</t>
        </is>
      </c>
      <c r="D243" s="4" t="inlineStr">
        <is>
          <t>Hoeveel gram weegt een stroopwafel van het merk Daelmans standaard?</t>
        </is>
      </c>
      <c r="E243" s="3" t="n">
        <v>32</v>
      </c>
      <c r="F243" s="3" t="inlineStr">
        <is>
          <t>algemeen naslagwerk</t>
        </is>
      </c>
      <c r="G243" s="4" t="inlineStr">
        <is>
          <t>Handmatig opzoeken; geen vaste bron aan te wijzen.</t>
        </is>
      </c>
      <c r="H243" s="3" t="inlineStr"/>
    </row>
    <row r="244">
      <c r="A244" s="3" t="n">
        <v>1173</v>
      </c>
      <c r="B244" s="3" t="inlineStr">
        <is>
          <t>—</t>
        </is>
      </c>
      <c r="C244" s="3" t="inlineStr">
        <is>
          <t>Geografie</t>
        </is>
      </c>
      <c r="D244" s="4" t="inlineStr">
        <is>
          <t>Hoeveel duizend inwoners heeft Amsterdam?</t>
        </is>
      </c>
      <c r="E244" s="3" t="n">
        <v>933</v>
      </c>
      <c r="F244" s="3" t="inlineStr">
        <is>
          <t>algemeen naslagwerk</t>
        </is>
      </c>
      <c r="G244" s="4" t="inlineStr">
        <is>
          <t>Handmatig opzoeken; geen vaste bron aan te wijzen.</t>
        </is>
      </c>
      <c r="H244" s="3" t="inlineStr"/>
    </row>
    <row r="245">
      <c r="A245" s="3" t="n">
        <v>1175</v>
      </c>
      <c r="B245" s="3" t="inlineStr">
        <is>
          <t>—</t>
        </is>
      </c>
      <c r="C245" s="3" t="inlineStr">
        <is>
          <t>Spellen en speelgoed</t>
        </is>
      </c>
      <c r="D245" s="4" t="inlineStr">
        <is>
          <t>Hoeveel kapstokkaarten telt een standaard Nederlandse Mens-erger-je-niet?</t>
        </is>
      </c>
      <c r="E245" s="3" t="n">
        <v>4</v>
      </c>
      <c r="F245" s="3" t="inlineStr">
        <is>
          <t>algemeen naslagwerk</t>
        </is>
      </c>
      <c r="G245" s="4" t="inlineStr">
        <is>
          <t>Handmatig opzoeken; geen vaste bron aan te wijzen.</t>
        </is>
      </c>
      <c r="H245" s="3" t="inlineStr"/>
    </row>
    <row r="246">
      <c r="A246" s="3" t="n">
        <v>1177</v>
      </c>
      <c r="B246" s="3" t="inlineStr">
        <is>
          <t>—</t>
        </is>
      </c>
      <c r="C246" s="3" t="inlineStr">
        <is>
          <t>Dagelijks leven</t>
        </is>
      </c>
      <c r="D246" s="4" t="inlineStr">
        <is>
          <t>Hoeveel keer per jaar publiceert het CBS de driejaarlijkse woondenquête?</t>
        </is>
      </c>
      <c r="E246" s="3" t="n">
        <v>1</v>
      </c>
      <c r="F246" s="3" t="inlineStr">
        <is>
          <t>algemeen naslagwerk</t>
        </is>
      </c>
      <c r="G246" s="4" t="inlineStr">
        <is>
          <t>Handmatig opzoeken; geen vaste bron aan te wijzen.</t>
        </is>
      </c>
      <c r="H246" s="3" t="inlineStr"/>
    </row>
    <row r="247">
      <c r="A247" s="3" t="n">
        <v>1179</v>
      </c>
      <c r="B247" s="3" t="inlineStr">
        <is>
          <t>—</t>
        </is>
      </c>
      <c r="C247" s="3" t="inlineStr">
        <is>
          <t>Sport</t>
        </is>
      </c>
      <c r="D247" s="4" t="inlineStr">
        <is>
          <t>Hoeveel keer won Oranje de FIFA World Cup bij de mannen?</t>
        </is>
      </c>
      <c r="E247" s="3" t="n">
        <v>0</v>
      </c>
      <c r="F247" s="3" t="inlineStr">
        <is>
          <t>algemeen naslagwerk</t>
        </is>
      </c>
      <c r="G247" s="4" t="inlineStr">
        <is>
          <t>Handmatig opzoeken; geen vaste bron aan te wijzen.</t>
        </is>
      </c>
      <c r="H247" s="3" t="inlineStr"/>
    </row>
    <row r="248">
      <c r="A248" s="3" t="n">
        <v>1180</v>
      </c>
      <c r="B248" s="3" t="inlineStr">
        <is>
          <t>—</t>
        </is>
      </c>
      <c r="C248" s="3" t="inlineStr">
        <is>
          <t>Vervoer</t>
        </is>
      </c>
      <c r="D248" s="4" t="inlineStr">
        <is>
          <t>Hoeveel duizend kilometer fietspad telt Nederland?</t>
        </is>
      </c>
      <c r="E248" s="3" t="n">
        <v>35</v>
      </c>
      <c r="F248" s="3" t="inlineStr">
        <is>
          <t>algemeen naslagwerk</t>
        </is>
      </c>
      <c r="G248" s="4" t="inlineStr">
        <is>
          <t>Handmatig opzoeken; geen vaste bron aan te wijzen.</t>
        </is>
      </c>
      <c r="H248" s="3" t="inlineStr"/>
    </row>
    <row r="249">
      <c r="A249" s="3" t="n">
        <v>1185</v>
      </c>
      <c r="B249" s="3" t="inlineStr">
        <is>
          <t>—</t>
        </is>
      </c>
      <c r="C249" s="3" t="inlineStr">
        <is>
          <t>Geografie</t>
        </is>
      </c>
      <c r="D249" s="4" t="inlineStr">
        <is>
          <t>Hoeveel kilometer van de Maas ligt in Nederland?</t>
        </is>
      </c>
      <c r="E249" s="3" t="n">
        <v>250</v>
      </c>
      <c r="F249" s="3" t="inlineStr">
        <is>
          <t>algemeen naslagwerk</t>
        </is>
      </c>
      <c r="G249" s="4" t="inlineStr">
        <is>
          <t>Handmatig opzoeken; geen vaste bron aan te wijzen.</t>
        </is>
      </c>
      <c r="H249" s="3" t="inlineStr"/>
    </row>
    <row r="250">
      <c r="A250" s="3" t="n">
        <v>1186</v>
      </c>
      <c r="B250" s="3" t="inlineStr">
        <is>
          <t>—</t>
        </is>
      </c>
      <c r="C250" s="3" t="inlineStr">
        <is>
          <t>Vervoer</t>
        </is>
      </c>
      <c r="D250" s="4" t="inlineStr">
        <is>
          <t>Hoeveel kilometer lang is het metronet van Rotterdam?</t>
        </is>
      </c>
      <c r="E250" s="3" t="n">
        <v>78</v>
      </c>
      <c r="F250" s="3" t="inlineStr">
        <is>
          <t>algemeen naslagwerk</t>
        </is>
      </c>
      <c r="G250" s="4" t="inlineStr">
        <is>
          <t>Handmatig opzoeken; geen vaste bron aan te wijzen.</t>
        </is>
      </c>
      <c r="H250" s="3" t="inlineStr"/>
    </row>
    <row r="251">
      <c r="A251" s="3" t="n">
        <v>1188</v>
      </c>
      <c r="B251" s="3" t="inlineStr">
        <is>
          <t>—</t>
        </is>
      </c>
      <c r="C251" s="3" t="inlineStr">
        <is>
          <t>Vervoer</t>
        </is>
      </c>
      <c r="D251" s="4" t="inlineStr">
        <is>
          <t>Hoeveel kilometer lang is de Noord-Zuidlijn Amsterdam?</t>
        </is>
      </c>
      <c r="E251" s="3" t="n">
        <v>9</v>
      </c>
      <c r="F251" s="3" t="inlineStr">
        <is>
          <t>algemeen naslagwerk</t>
        </is>
      </c>
      <c r="G251" s="4" t="inlineStr">
        <is>
          <t>Handmatig opzoeken; geen vaste bron aan te wijzen.</t>
        </is>
      </c>
      <c r="H251" s="3" t="inlineStr"/>
    </row>
    <row r="252">
      <c r="A252" s="3" t="n">
        <v>1189</v>
      </c>
      <c r="B252" s="3" t="inlineStr">
        <is>
          <t>—</t>
        </is>
      </c>
      <c r="C252" s="3" t="inlineStr">
        <is>
          <t>Gebouwen en infrastructuur</t>
        </is>
      </c>
      <c r="D252" s="4" t="inlineStr">
        <is>
          <t>Hoeveel kilometer lang is de Van Brienenoordbrug hoofdspansegment?</t>
        </is>
      </c>
      <c r="E252" s="3" t="n">
        <v>300</v>
      </c>
      <c r="F252" s="3" t="inlineStr">
        <is>
          <t>algemeen naslagwerk</t>
        </is>
      </c>
      <c r="G252" s="4" t="inlineStr">
        <is>
          <t>Handmatig opzoeken; geen vaste bron aan te wijzen.</t>
        </is>
      </c>
      <c r="H252" s="3" t="inlineStr"/>
    </row>
    <row r="253">
      <c r="A253" s="3" t="n">
        <v>1194</v>
      </c>
      <c r="B253" s="3" t="inlineStr">
        <is>
          <t>—</t>
        </is>
      </c>
      <c r="C253" s="3" t="inlineStr">
        <is>
          <t>Geschiedenis</t>
        </is>
      </c>
      <c r="D253" s="4" t="inlineStr">
        <is>
          <t>Hoeveel kinderen heeft koning Willem-Alexander?</t>
        </is>
      </c>
      <c r="E253" s="3" t="n">
        <v>3</v>
      </c>
      <c r="F253" s="3" t="inlineStr">
        <is>
          <t>algemeen naslagwerk</t>
        </is>
      </c>
      <c r="G253" s="4" t="inlineStr">
        <is>
          <t>Handmatig opzoeken; geen vaste bron aan te wijzen.</t>
        </is>
      </c>
      <c r="H253" s="3" t="inlineStr"/>
    </row>
    <row r="254">
      <c r="A254" s="3" t="n">
        <v>1197</v>
      </c>
      <c r="B254" s="3" t="inlineStr">
        <is>
          <t>—</t>
        </is>
      </c>
      <c r="C254" s="3" t="inlineStr">
        <is>
          <t>Geografie</t>
        </is>
      </c>
      <c r="D254" s="4" t="inlineStr">
        <is>
          <t>Hoeveel vierkante kilometer groot is de provincie Utrecht?</t>
        </is>
      </c>
      <c r="E254" s="3" t="n">
        <v>1449</v>
      </c>
      <c r="F254" s="3" t="inlineStr">
        <is>
          <t>algemeen naslagwerk</t>
        </is>
      </c>
      <c r="G254" s="4" t="inlineStr">
        <is>
          <t>Handmatig opzoeken; geen vaste bron aan te wijzen.</t>
        </is>
      </c>
      <c r="H254" s="3" t="inlineStr"/>
    </row>
    <row r="255">
      <c r="A255" s="3" t="n">
        <v>1198</v>
      </c>
      <c r="B255" s="3" t="inlineStr">
        <is>
          <t>—</t>
        </is>
      </c>
      <c r="C255" s="3" t="inlineStr">
        <is>
          <t>Politiek en recht</t>
        </is>
      </c>
      <c r="D255" s="4" t="inlineStr">
        <is>
          <t>Hoeveel koppen bevat de Nederlandse driehoek bestuursniveaus (rijk, provincie, gemeente)?</t>
        </is>
      </c>
      <c r="E255" s="3" t="n">
        <v>3</v>
      </c>
      <c r="F255" s="3" t="inlineStr">
        <is>
          <t>algemeen naslagwerk</t>
        </is>
      </c>
      <c r="G255" s="4" t="inlineStr">
        <is>
          <t>Handmatig opzoeken; geen vaste bron aan te wijzen.</t>
        </is>
      </c>
      <c r="H255" s="3" t="inlineStr"/>
    </row>
    <row r="256">
      <c r="A256" s="3" t="n">
        <v>1203</v>
      </c>
      <c r="B256" s="3" t="inlineStr">
        <is>
          <t>—</t>
        </is>
      </c>
      <c r="C256" s="3" t="inlineStr">
        <is>
          <t>Geschiedenis</t>
        </is>
      </c>
      <c r="D256" s="4" t="inlineStr">
        <is>
          <t>Hoeveel landen kocht de VOC formeel aan als koloniale gebieden?</t>
        </is>
      </c>
      <c r="E256" s="3" t="n">
        <v>0</v>
      </c>
      <c r="F256" s="3" t="inlineStr">
        <is>
          <t>algemeen naslagwerk</t>
        </is>
      </c>
      <c r="G256" s="4" t="inlineStr">
        <is>
          <t>Handmatig opzoeken; geen vaste bron aan te wijzen.</t>
        </is>
      </c>
      <c r="H256" s="3" t="inlineStr"/>
    </row>
    <row r="257">
      <c r="A257" s="3" t="n">
        <v>1208</v>
      </c>
      <c r="B257" s="3" t="inlineStr">
        <is>
          <t>—</t>
        </is>
      </c>
      <c r="C257" s="3" t="inlineStr">
        <is>
          <t>Eten &amp; drinken</t>
        </is>
      </c>
      <c r="D257" s="4" t="inlineStr">
        <is>
          <t>Hoeveel liter melk drinkt een Nederlander per jaar?</t>
        </is>
      </c>
      <c r="E257" s="3" t="n">
        <v>50</v>
      </c>
      <c r="F257" s="3" t="inlineStr">
        <is>
          <t>algemeen naslagwerk</t>
        </is>
      </c>
      <c r="G257" s="4" t="inlineStr">
        <is>
          <t>Handmatig opzoeken; geen vaste bron aan te wijzen.</t>
        </is>
      </c>
      <c r="H257" s="3" t="inlineStr"/>
    </row>
    <row r="258">
      <c r="A258" s="3" t="n">
        <v>1209</v>
      </c>
      <c r="B258" s="3" t="inlineStr">
        <is>
          <t>—</t>
        </is>
      </c>
      <c r="C258" s="3" t="inlineStr">
        <is>
          <t>Landbouw en industrie</t>
        </is>
      </c>
      <c r="D258" s="4" t="inlineStr">
        <is>
          <t>Hoeveel liter melk geeft een gemiddelde Nederlandse koe per jaar?</t>
        </is>
      </c>
      <c r="E258" s="3" t="n">
        <v>9200</v>
      </c>
      <c r="F258" s="3" t="inlineStr">
        <is>
          <t>algemeen naslagwerk</t>
        </is>
      </c>
      <c r="G258" s="4" t="inlineStr">
        <is>
          <t>Handmatig opzoeken; geen vaste bron aan te wijzen.</t>
        </is>
      </c>
      <c r="H258" s="3" t="inlineStr"/>
    </row>
    <row r="259">
      <c r="A259" s="3" t="n">
        <v>1217</v>
      </c>
      <c r="B259" s="3" t="inlineStr">
        <is>
          <t>—</t>
        </is>
      </c>
      <c r="C259" s="3" t="inlineStr">
        <is>
          <t>Vervoer</t>
        </is>
      </c>
      <c r="D259" s="4" t="inlineStr">
        <is>
          <t>Hoeveel meter lang is het cruiseschip Rotterdam?</t>
        </is>
      </c>
      <c r="E259" s="3" t="n">
        <v>300</v>
      </c>
      <c r="F259" s="3" t="inlineStr">
        <is>
          <t>algemeen naslagwerk</t>
        </is>
      </c>
      <c r="G259" s="4" t="inlineStr">
        <is>
          <t>Handmatig opzoeken; geen vaste bron aan te wijzen.</t>
        </is>
      </c>
      <c r="H259" s="3" t="inlineStr"/>
    </row>
    <row r="260">
      <c r="A260" s="3" t="n">
        <v>1219</v>
      </c>
      <c r="B260" s="3" t="inlineStr">
        <is>
          <t>—</t>
        </is>
      </c>
      <c r="C260" s="3" t="inlineStr">
        <is>
          <t>Politiek en recht</t>
        </is>
      </c>
      <c r="D260" s="4" t="inlineStr">
        <is>
          <t>Hoeveel miljard euro bedraagt het Nederlandse defensiebudget?</t>
        </is>
      </c>
      <c r="E260" s="3" t="n">
        <v>21</v>
      </c>
      <c r="F260" s="3" t="inlineStr">
        <is>
          <t>algemeen naslagwerk</t>
        </is>
      </c>
      <c r="G260" s="4" t="inlineStr">
        <is>
          <t>Handmatig opzoeken; geen vaste bron aan te wijzen.</t>
        </is>
      </c>
      <c r="H260" s="3" t="inlineStr"/>
    </row>
    <row r="261">
      <c r="A261" s="3" t="n">
        <v>1223</v>
      </c>
      <c r="B261" s="3" t="inlineStr">
        <is>
          <t>—</t>
        </is>
      </c>
      <c r="C261" s="3" t="inlineStr">
        <is>
          <t>Gebouwen en infrastructuur</t>
        </is>
      </c>
      <c r="D261" s="4" t="inlineStr">
        <is>
          <t>Hoeveel molens staan er op de Zaanse Schans?</t>
        </is>
      </c>
      <c r="E261" s="3" t="n">
        <v>8</v>
      </c>
      <c r="F261" s="3" t="inlineStr">
        <is>
          <t>algemeen naslagwerk</t>
        </is>
      </c>
      <c r="G261" s="4" t="inlineStr">
        <is>
          <t>Handmatig opzoeken; geen vaste bron aan te wijzen.</t>
        </is>
      </c>
      <c r="H261" s="3" t="inlineStr"/>
    </row>
    <row r="262">
      <c r="A262" s="3" t="n">
        <v>1230</v>
      </c>
      <c r="B262" s="3" t="inlineStr">
        <is>
          <t>—</t>
        </is>
      </c>
      <c r="C262" s="3" t="inlineStr">
        <is>
          <t>Economie &amp; geld</t>
        </is>
      </c>
      <c r="D262" s="4" t="inlineStr">
        <is>
          <t>Hoeveel procent van de Nederlandse betalingen verloopt contactloos of via pin volgens recente cijfers?</t>
        </is>
      </c>
      <c r="E262" s="3" t="n">
        <v>80</v>
      </c>
      <c r="F262" s="3" t="inlineStr">
        <is>
          <t>algemeen naslagwerk</t>
        </is>
      </c>
      <c r="G262" s="4" t="inlineStr">
        <is>
          <t>Handmatig opzoeken; geen vaste bron aan te wijzen.</t>
        </is>
      </c>
      <c r="H262" s="3" t="inlineStr"/>
    </row>
    <row r="263">
      <c r="A263" s="3" t="n">
        <v>1238</v>
      </c>
      <c r="B263" s="3" t="inlineStr">
        <is>
          <t>—</t>
        </is>
      </c>
      <c r="C263" s="3" t="inlineStr">
        <is>
          <t>Geografie</t>
        </is>
      </c>
      <c r="D263" s="4" t="inlineStr">
        <is>
          <t>Hoeveel strepen heeft het Nederlandse vlagontwerp in horizontale banen?</t>
        </is>
      </c>
      <c r="E263" s="3" t="n">
        <v>3</v>
      </c>
      <c r="F263" s="3" t="inlineStr">
        <is>
          <t>algemeen naslagwerk</t>
        </is>
      </c>
      <c r="G263" s="4" t="inlineStr">
        <is>
          <t>Handmatig opzoeken; geen vaste bron aan te wijzen.</t>
        </is>
      </c>
      <c r="H263" s="3" t="inlineStr"/>
    </row>
    <row r="264">
      <c r="A264" s="3" t="n">
        <v>1239</v>
      </c>
      <c r="B264" s="3" t="inlineStr">
        <is>
          <t>—</t>
        </is>
      </c>
      <c r="C264" s="3" t="inlineStr">
        <is>
          <t>Kunst en cultuur</t>
        </is>
      </c>
      <c r="D264" s="4" t="inlineStr">
        <is>
          <t>Hoeveel tekeningen van Rembrandt bezit het Rijksmuseum volgens de huidige collectie-informatie?</t>
        </is>
      </c>
      <c r="E264" s="3" t="n">
        <v>64</v>
      </c>
      <c r="F264" s="3" t="inlineStr">
        <is>
          <t>algemeen naslagwerk</t>
        </is>
      </c>
      <c r="G264" s="4" t="inlineStr">
        <is>
          <t>Handmatig opzoeken; geen vaste bron aan te wijzen.</t>
        </is>
      </c>
      <c r="H264" s="3" t="inlineStr"/>
    </row>
    <row r="265">
      <c r="A265" s="3" t="n">
        <v>1244</v>
      </c>
      <c r="B265" s="3" t="inlineStr">
        <is>
          <t>—</t>
        </is>
      </c>
      <c r="C265" s="3" t="inlineStr">
        <is>
          <t>Dieren</t>
        </is>
      </c>
      <c r="D265" s="4" t="inlineStr">
        <is>
          <t>Hoeveel dagvlindersoorten komen voor in Nederland?</t>
        </is>
      </c>
      <c r="E265" s="3" t="n">
        <v>53</v>
      </c>
      <c r="F265" s="3" t="inlineStr">
        <is>
          <t>algemeen naslagwerk</t>
        </is>
      </c>
      <c r="G265" s="4" t="inlineStr">
        <is>
          <t>Handmatig opzoeken; geen vaste bron aan te wijzen.</t>
        </is>
      </c>
      <c r="H265" s="3" t="inlineStr"/>
    </row>
    <row r="266">
      <c r="A266" s="3" t="n">
        <v>1245</v>
      </c>
      <c r="B266" s="3" t="inlineStr">
        <is>
          <t>—</t>
        </is>
      </c>
      <c r="C266" s="3" t="inlineStr">
        <is>
          <t>Sport</t>
        </is>
      </c>
      <c r="D266" s="4" t="inlineStr">
        <is>
          <t>Hoeveel voetbalstadions van eredivisieclubs hebben een capaciteit boven de 50.000 (Amsterdam Arena en De Kuip)?</t>
        </is>
      </c>
      <c r="E266" s="3" t="n">
        <v>2</v>
      </c>
      <c r="F266" s="3" t="inlineStr">
        <is>
          <t>algemeen naslagwerk</t>
        </is>
      </c>
      <c r="G266" s="4" t="inlineStr">
        <is>
          <t>Handmatig opzoeken; geen vaste bron aan te wijzen.</t>
        </is>
      </c>
      <c r="H266" s="3" t="inlineStr"/>
    </row>
    <row r="267">
      <c r="A267" s="3" t="n">
        <v>1250</v>
      </c>
      <c r="B267" s="3" t="inlineStr">
        <is>
          <t>—</t>
        </is>
      </c>
      <c r="C267" s="3" t="inlineStr">
        <is>
          <t>Geografie</t>
        </is>
      </c>
      <c r="D267" s="4" t="inlineStr">
        <is>
          <t>Hoeveel miljoen inwoners heeft India?</t>
        </is>
      </c>
      <c r="E267" s="3" t="n">
        <v>1440</v>
      </c>
      <c r="F267" s="3" t="inlineStr">
        <is>
          <t>algemeen naslagwerk</t>
        </is>
      </c>
      <c r="G267" s="4" t="inlineStr">
        <is>
          <t>Handmatig opzoeken; geen vaste bron aan te wijzen.</t>
        </is>
      </c>
      <c r="H267" s="3" t="inlineStr"/>
    </row>
    <row r="268">
      <c r="A268" s="3" t="n">
        <v>1251</v>
      </c>
      <c r="B268" s="3" t="inlineStr">
        <is>
          <t>—</t>
        </is>
      </c>
      <c r="C268" s="3" t="inlineStr">
        <is>
          <t>Politiek en recht</t>
        </is>
      </c>
      <c r="D268" s="4" t="inlineStr">
        <is>
          <t>Hoeveel artikelen telt de Universele Verklaring van de Rechten van de Mens?</t>
        </is>
      </c>
      <c r="E268" s="3" t="n">
        <v>30</v>
      </c>
      <c r="F268" s="3" t="inlineStr">
        <is>
          <t>algemeen naslagwerk</t>
        </is>
      </c>
      <c r="G268" s="4" t="inlineStr">
        <is>
          <t>Handmatig opzoeken; geen vaste bron aan te wijzen.</t>
        </is>
      </c>
      <c r="H268" s="3" t="inlineStr"/>
    </row>
    <row r="269">
      <c r="A269" s="3" t="n">
        <v>1255</v>
      </c>
      <c r="B269" s="3" t="inlineStr">
        <is>
          <t>—</t>
        </is>
      </c>
      <c r="C269" s="3" t="inlineStr">
        <is>
          <t>Politiek en recht</t>
        </is>
      </c>
      <c r="D269" s="4" t="inlineStr">
        <is>
          <t>Hoeveel electorale stemmen heeft Californië (2024)?</t>
        </is>
      </c>
      <c r="E269" s="3" t="n">
        <v>54</v>
      </c>
      <c r="F269" s="3" t="inlineStr">
        <is>
          <t>algemeen naslagwerk</t>
        </is>
      </c>
      <c r="G269" s="4" t="inlineStr">
        <is>
          <t>Handmatig opzoeken; geen vaste bron aan te wijzen.</t>
        </is>
      </c>
      <c r="H269" s="3" t="inlineStr"/>
    </row>
    <row r="270">
      <c r="A270" s="3" t="n">
        <v>1257</v>
      </c>
      <c r="B270" s="3" t="inlineStr">
        <is>
          <t>—</t>
        </is>
      </c>
      <c r="C270" s="3" t="inlineStr">
        <is>
          <t>Politiek en recht</t>
        </is>
      </c>
      <c r="D270" s="4" t="inlineStr">
        <is>
          <t>Hoeveel electorale stemmen zijn er nodig om de VS-presidentsverkiezing te winnen?</t>
        </is>
      </c>
      <c r="E270" s="3" t="n">
        <v>270</v>
      </c>
      <c r="F270" s="3" t="inlineStr">
        <is>
          <t>algemeen naslagwerk</t>
        </is>
      </c>
      <c r="G270" s="4" t="inlineStr">
        <is>
          <t>Handmatig opzoeken; geen vaste bron aan te wijzen.</t>
        </is>
      </c>
      <c r="H270" s="3" t="inlineStr"/>
    </row>
    <row r="271">
      <c r="A271" s="3" t="n">
        <v>1258</v>
      </c>
      <c r="B271" s="3" t="inlineStr">
        <is>
          <t>—</t>
        </is>
      </c>
      <c r="C271" s="3" t="inlineStr">
        <is>
          <t>Politiek en recht</t>
        </is>
      </c>
      <c r="D271" s="4" t="inlineStr">
        <is>
          <t>Hoeveel emiraten heeft Saoedi-Arabië als koninkrijk in bestuurlijke regio (provincies)?</t>
        </is>
      </c>
      <c r="E271" s="3" t="n">
        <v>13</v>
      </c>
      <c r="F271" s="3" t="inlineStr">
        <is>
          <t>algemeen naslagwerk</t>
        </is>
      </c>
      <c r="G271" s="4" t="inlineStr">
        <is>
          <t>Handmatig opzoeken; geen vaste bron aan te wijzen.</t>
        </is>
      </c>
      <c r="H271" s="3" t="inlineStr"/>
    </row>
    <row r="272">
      <c r="A272" s="3" t="n">
        <v>1259</v>
      </c>
      <c r="B272" s="3" t="inlineStr">
        <is>
          <t>—</t>
        </is>
      </c>
      <c r="C272" s="3" t="inlineStr">
        <is>
          <t>Politiek en recht</t>
        </is>
      </c>
      <c r="D272" s="4" t="inlineStr">
        <is>
          <t>Hoeveel jaar duurt een termijn van het Australische Huis van Afgevaardigden?</t>
        </is>
      </c>
      <c r="E272" s="3" t="n">
        <v>3</v>
      </c>
      <c r="F272" s="3" t="inlineStr">
        <is>
          <t>algemeen naslagwerk</t>
        </is>
      </c>
      <c r="G272" s="4" t="inlineStr">
        <is>
          <t>Handmatig opzoeken; geen vaste bron aan te wijzen.</t>
        </is>
      </c>
      <c r="H272" s="3" t="inlineStr"/>
    </row>
    <row r="273">
      <c r="A273" s="3" t="n">
        <v>1260</v>
      </c>
      <c r="B273" s="3" t="inlineStr">
        <is>
          <t>—</t>
        </is>
      </c>
      <c r="C273" s="3" t="inlineStr">
        <is>
          <t>Politiek en recht</t>
        </is>
      </c>
      <c r="D273" s="4" t="inlineStr">
        <is>
          <t>Hoeveel jaar duurt een termijn van het Nieuw-Zeelandse parlement?</t>
        </is>
      </c>
      <c r="E273" s="3" t="n">
        <v>3</v>
      </c>
      <c r="F273" s="3" t="inlineStr">
        <is>
          <t>algemeen naslagwerk</t>
        </is>
      </c>
      <c r="G273" s="4" t="inlineStr">
        <is>
          <t>Handmatig opzoeken; geen vaste bron aan te wijzen.</t>
        </is>
      </c>
      <c r="H273" s="3" t="inlineStr"/>
    </row>
    <row r="274">
      <c r="A274" s="3" t="n">
        <v>1261</v>
      </c>
      <c r="B274" s="3" t="inlineStr">
        <is>
          <t>—</t>
        </is>
      </c>
      <c r="C274" s="3" t="inlineStr">
        <is>
          <t>Politiek en recht</t>
        </is>
      </c>
      <c r="D274" s="4" t="inlineStr">
        <is>
          <t>Hoeveel jaren duurt een termijn van een Amerikaanse senator?</t>
        </is>
      </c>
      <c r="E274" s="3" t="n">
        <v>6</v>
      </c>
      <c r="F274" s="3" t="inlineStr">
        <is>
          <t>algemeen naslagwerk</t>
        </is>
      </c>
      <c r="G274" s="4" t="inlineStr">
        <is>
          <t>Handmatig opzoeken; geen vaste bron aan te wijzen.</t>
        </is>
      </c>
      <c r="H274" s="3" t="inlineStr"/>
    </row>
    <row r="275">
      <c r="A275" s="3" t="n">
        <v>1264</v>
      </c>
      <c r="B275" s="3" t="inlineStr">
        <is>
          <t>—</t>
        </is>
      </c>
      <c r="C275" s="3" t="inlineStr">
        <is>
          <t>Politiek en recht</t>
        </is>
      </c>
      <c r="D275" s="4" t="inlineStr">
        <is>
          <t>Hoeveel landen gebruiken de Centraal-Afrikaanse CFA frank?</t>
        </is>
      </c>
      <c r="E275" s="3" t="n">
        <v>6</v>
      </c>
      <c r="F275" s="3" t="inlineStr">
        <is>
          <t>algemeen naslagwerk</t>
        </is>
      </c>
      <c r="G275" s="4" t="inlineStr">
        <is>
          <t>Handmatig opzoeken; geen vaste bron aan te wijzen.</t>
        </is>
      </c>
      <c r="H275" s="3" t="inlineStr"/>
    </row>
    <row r="276">
      <c r="A276" s="3" t="n">
        <v>1265</v>
      </c>
      <c r="B276" s="3" t="inlineStr">
        <is>
          <t>—</t>
        </is>
      </c>
      <c r="C276" s="3" t="inlineStr">
        <is>
          <t>Politiek en recht</t>
        </is>
      </c>
      <c r="D276" s="4" t="inlineStr">
        <is>
          <t>Hoeveel landen gebruiken de West-Afrikaanse CFA-frank?</t>
        </is>
      </c>
      <c r="E276" s="3" t="n">
        <v>8</v>
      </c>
      <c r="F276" s="3" t="inlineStr">
        <is>
          <t>algemeen naslagwerk</t>
        </is>
      </c>
      <c r="G276" s="4" t="inlineStr">
        <is>
          <t>Handmatig opzoeken; geen vaste bron aan te wijzen.</t>
        </is>
      </c>
      <c r="H276" s="3" t="inlineStr"/>
    </row>
    <row r="277">
      <c r="A277" s="3" t="n">
        <v>1268</v>
      </c>
      <c r="B277" s="3" t="inlineStr">
        <is>
          <t>—</t>
        </is>
      </c>
      <c r="C277" s="3" t="inlineStr">
        <is>
          <t>Geografie</t>
        </is>
      </c>
      <c r="D277" s="4" t="inlineStr">
        <is>
          <t>Hoeveel landen telt Oceanië?</t>
        </is>
      </c>
      <c r="E277" s="3" t="n">
        <v>14</v>
      </c>
      <c r="F277" s="3" t="inlineStr">
        <is>
          <t>algemeen naslagwerk</t>
        </is>
      </c>
      <c r="G277" s="4" t="inlineStr">
        <is>
          <t>Handmatig opzoeken; geen vaste bron aan te wijzen.</t>
        </is>
      </c>
      <c r="H277" s="3" t="inlineStr"/>
    </row>
    <row r="278">
      <c r="A278" s="3" t="n">
        <v>1269</v>
      </c>
      <c r="B278" s="3" t="inlineStr">
        <is>
          <t>—</t>
        </is>
      </c>
      <c r="C278" s="3" t="inlineStr">
        <is>
          <t>Politiek en recht</t>
        </is>
      </c>
      <c r="D278" s="4" t="inlineStr">
        <is>
          <t>Hoeveel landen zijn lid van de CELAC?</t>
        </is>
      </c>
      <c r="E278" s="3" t="n">
        <v>33</v>
      </c>
      <c r="F278" s="3" t="inlineStr">
        <is>
          <t>algemeen naslagwerk</t>
        </is>
      </c>
      <c r="G278" s="4" t="inlineStr">
        <is>
          <t>Handmatig opzoeken; geen vaste bron aan te wijzen.</t>
        </is>
      </c>
      <c r="H278" s="3" t="inlineStr"/>
    </row>
    <row r="279">
      <c r="A279" s="3" t="n">
        <v>1273</v>
      </c>
      <c r="B279" s="3" t="inlineStr">
        <is>
          <t>—</t>
        </is>
      </c>
      <c r="C279" s="3" t="inlineStr">
        <is>
          <t>Politiek en recht</t>
        </is>
      </c>
      <c r="D279" s="4" t="inlineStr">
        <is>
          <t>Hoeveel leden telt de ASEAN-organisatie (2024)?</t>
        </is>
      </c>
      <c r="E279" s="3" t="n">
        <v>10</v>
      </c>
      <c r="F279" s="3" t="inlineStr">
        <is>
          <t>algemeen naslagwerk</t>
        </is>
      </c>
      <c r="G279" s="4" t="inlineStr">
        <is>
          <t>Handmatig opzoeken; geen vaste bron aan te wijzen.</t>
        </is>
      </c>
      <c r="H279" s="3" t="inlineStr"/>
    </row>
    <row r="280">
      <c r="A280" s="3" t="n">
        <v>1277</v>
      </c>
      <c r="B280" s="3" t="inlineStr">
        <is>
          <t>—</t>
        </is>
      </c>
      <c r="C280" s="3" t="inlineStr">
        <is>
          <t>Politiek en recht</t>
        </is>
      </c>
      <c r="D280" s="4" t="inlineStr">
        <is>
          <t>Hoeveel leden telt de SAARC organisatie?</t>
        </is>
      </c>
      <c r="E280" s="3" t="n">
        <v>8</v>
      </c>
      <c r="F280" s="3" t="inlineStr">
        <is>
          <t>algemeen naslagwerk</t>
        </is>
      </c>
      <c r="G280" s="4" t="inlineStr">
        <is>
          <t>Handmatig opzoeken; geen vaste bron aan te wijzen.</t>
        </is>
      </c>
      <c r="H280" s="3" t="inlineStr"/>
    </row>
    <row r="281">
      <c r="A281" s="3" t="n">
        <v>1283</v>
      </c>
      <c r="B281" s="3" t="inlineStr">
        <is>
          <t>—</t>
        </is>
      </c>
      <c r="C281" s="3" t="inlineStr">
        <is>
          <t>Politiek en recht</t>
        </is>
      </c>
      <c r="D281" s="4" t="inlineStr">
        <is>
          <t>Hoeveel provincies heeft Argentinië (inclusief de hoofdstad als aparte provincie)?</t>
        </is>
      </c>
      <c r="E281" s="3" t="n">
        <v>24</v>
      </c>
      <c r="F281" s="3" t="inlineStr">
        <is>
          <t>algemeen naslagwerk</t>
        </is>
      </c>
      <c r="G281" s="4" t="inlineStr">
        <is>
          <t>Handmatig opzoeken; geen vaste bron aan te wijzen.</t>
        </is>
      </c>
      <c r="H281" s="3" t="inlineStr"/>
    </row>
    <row r="282">
      <c r="A282" s="3" t="n">
        <v>1287</v>
      </c>
      <c r="B282" s="3" t="inlineStr">
        <is>
          <t>—</t>
        </is>
      </c>
      <c r="C282" s="3" t="inlineStr">
        <is>
          <t>Politiek en recht</t>
        </is>
      </c>
      <c r="D282" s="4" t="inlineStr">
        <is>
          <t>Hoeveel rechterzittingen telt het Amerikaanse Hooggerechtshof?</t>
        </is>
      </c>
      <c r="E282" s="3" t="n">
        <v>9</v>
      </c>
      <c r="F282" s="3" t="inlineStr">
        <is>
          <t>algemeen naslagwerk</t>
        </is>
      </c>
      <c r="G282" s="4" t="inlineStr">
        <is>
          <t>Handmatig opzoeken; geen vaste bron aan te wijzen.</t>
        </is>
      </c>
      <c r="H282" s="3" t="inlineStr"/>
    </row>
    <row r="283">
      <c r="A283" s="3" t="n">
        <v>1289</v>
      </c>
      <c r="B283" s="3" t="inlineStr">
        <is>
          <t>—</t>
        </is>
      </c>
      <c r="C283" s="3" t="inlineStr">
        <is>
          <t>Politiek en recht</t>
        </is>
      </c>
      <c r="D283" s="4" t="inlineStr">
        <is>
          <t>Hoeveel staten en territoria telt Australië samen?</t>
        </is>
      </c>
      <c r="E283" s="3" t="n">
        <v>8</v>
      </c>
      <c r="F283" s="3" t="inlineStr">
        <is>
          <t>algemeen naslagwerk</t>
        </is>
      </c>
      <c r="G283" s="4" t="inlineStr">
        <is>
          <t>Handmatig opzoeken; geen vaste bron aan te wijzen.</t>
        </is>
      </c>
      <c r="H283" s="3" t="inlineStr"/>
    </row>
    <row r="284">
      <c r="A284" s="3" t="n">
        <v>1293</v>
      </c>
      <c r="B284" s="3" t="inlineStr">
        <is>
          <t>—</t>
        </is>
      </c>
      <c r="C284" s="3" t="inlineStr">
        <is>
          <t>Politiek en recht</t>
        </is>
      </c>
      <c r="D284" s="4" t="inlineStr">
        <is>
          <t>Hoeveel zetels telt de Nieuw-Zeelandse Kamer van Afgevaardigden?</t>
        </is>
      </c>
      <c r="E284" s="3" t="n">
        <v>120</v>
      </c>
      <c r="F284" s="3" t="inlineStr">
        <is>
          <t>algemeen naslagwerk</t>
        </is>
      </c>
      <c r="G284" s="4" t="inlineStr">
        <is>
          <t>Handmatig opzoeken; geen vaste bron aan te wijzen.</t>
        </is>
      </c>
      <c r="H284" s="3" t="inlineStr"/>
    </row>
    <row r="285">
      <c r="A285" s="3" t="n">
        <v>1294</v>
      </c>
      <c r="B285" s="3" t="inlineStr">
        <is>
          <t>—</t>
        </is>
      </c>
      <c r="C285" s="3" t="inlineStr">
        <is>
          <t>Politiek en recht</t>
        </is>
      </c>
      <c r="D285" s="4" t="inlineStr">
        <is>
          <t>Hoeveel zetels telt het Australische Huis van Afgevaardigden?</t>
        </is>
      </c>
      <c r="E285" s="3" t="n">
        <v>151</v>
      </c>
      <c r="F285" s="3" t="inlineStr">
        <is>
          <t>algemeen naslagwerk</t>
        </is>
      </c>
      <c r="G285" s="4" t="inlineStr">
        <is>
          <t>Handmatig opzoeken; geen vaste bron aan te wijzen.</t>
        </is>
      </c>
      <c r="H285" s="3" t="inlineStr"/>
    </row>
    <row r="286">
      <c r="A286" s="3" t="n">
        <v>1297</v>
      </c>
      <c r="B286" s="3" t="inlineStr">
        <is>
          <t>—</t>
        </is>
      </c>
      <c r="C286" s="3" t="inlineStr">
        <is>
          <t>Records en vergelijkingen</t>
        </is>
      </c>
      <c r="D286" s="4" t="inlineStr">
        <is>
          <t>Hoe hoog was de hoogste duik vanaf een klif in meters?</t>
        </is>
      </c>
      <c r="E286" s="3" t="n">
        <v>59</v>
      </c>
      <c r="F286" s="3" t="inlineStr">
        <is>
          <t>algemeen naslagwerk</t>
        </is>
      </c>
      <c r="G286" s="4" t="inlineStr">
        <is>
          <t>Handmatig opzoeken; geen vaste bron aan te wijzen.</t>
        </is>
      </c>
      <c r="H286" s="3" t="inlineStr"/>
    </row>
    <row r="287">
      <c r="A287" s="3" t="n">
        <v>1310</v>
      </c>
      <c r="B287" s="3" t="inlineStr">
        <is>
          <t>—</t>
        </is>
      </c>
      <c r="C287" s="3" t="inlineStr">
        <is>
          <t>Records en vergelijkingen</t>
        </is>
      </c>
      <c r="D287" s="4" t="inlineStr">
        <is>
          <t>Hoeveel LEGO-steentjes werden gebruikt voor het grootste LEGO-model?</t>
        </is>
      </c>
      <c r="E287" s="3" t="n">
        <v>5335200</v>
      </c>
      <c r="F287" s="3" t="inlineStr">
        <is>
          <t>algemeen naslagwerk</t>
        </is>
      </c>
      <c r="G287" s="4" t="inlineStr">
        <is>
          <t>Handmatig opzoeken; geen vaste bron aan te wijzen.</t>
        </is>
      </c>
      <c r="H287" s="3" t="inlineStr"/>
    </row>
    <row r="288">
      <c r="A288" s="3" t="n">
        <v>1311</v>
      </c>
      <c r="B288" s="3" t="inlineStr">
        <is>
          <t>—</t>
        </is>
      </c>
      <c r="C288" s="3" t="inlineStr">
        <is>
          <t>Records en vergelijkingen</t>
        </is>
      </c>
      <c r="D288" s="4" t="inlineStr">
        <is>
          <t>Hoeveel jongleurs deden mee aan het grootste jongleerrecord?</t>
        </is>
      </c>
      <c r="E288" s="3" t="n">
        <v>1000</v>
      </c>
      <c r="F288" s="3" t="inlineStr">
        <is>
          <t>algemeen naslagwerk</t>
        </is>
      </c>
      <c r="G288" s="4" t="inlineStr">
        <is>
          <t>Handmatig opzoeken; geen vaste bron aan te wijzen.</t>
        </is>
      </c>
      <c r="H288" s="3" t="inlineStr"/>
    </row>
    <row r="289">
      <c r="A289" s="3" t="n">
        <v>1330</v>
      </c>
      <c r="B289" s="3" t="inlineStr">
        <is>
          <t>—</t>
        </is>
      </c>
      <c r="C289" s="3" t="inlineStr">
        <is>
          <t>Spellen en speelgoed</t>
        </is>
      </c>
      <c r="D289" s="4" t="inlineStr">
        <is>
          <t>Hoeveel LEGO-studs heeft een standaard 2×4 LEGO-steen aan de bovenkant?</t>
        </is>
      </c>
      <c r="E289" s="3" t="n">
        <v>8</v>
      </c>
      <c r="F289" s="3" t="inlineStr">
        <is>
          <t>algemeen naslagwerk</t>
        </is>
      </c>
      <c r="G289" s="4" t="inlineStr">
        <is>
          <t>Handmatig opzoeken; geen vaste bron aan te wijzen.</t>
        </is>
      </c>
      <c r="H289" s="3" t="inlineStr"/>
    </row>
    <row r="290">
      <c r="A290" s="3" t="n">
        <v>1332</v>
      </c>
      <c r="B290" s="3" t="inlineStr">
        <is>
          <t>—</t>
        </is>
      </c>
      <c r="C290" s="3" t="inlineStr">
        <is>
          <t>Spellen en speelgoed</t>
        </is>
      </c>
      <c r="D290" s="4" t="inlineStr">
        <is>
          <t>Hoeveel grondstoffenkaarten zitten er in het basisspel van Catan?</t>
        </is>
      </c>
      <c r="E290" s="3" t="n">
        <v>95</v>
      </c>
      <c r="F290" s="3" t="inlineStr">
        <is>
          <t>algemeen naslagwerk</t>
        </is>
      </c>
      <c r="G290" s="4" t="inlineStr">
        <is>
          <t>Handmatig opzoeken; geen vaste bron aan te wijzen.</t>
        </is>
      </c>
      <c r="H290" s="3" t="inlineStr"/>
    </row>
    <row r="291">
      <c r="A291" s="3" t="n">
        <v>1333</v>
      </c>
      <c r="B291" s="3" t="inlineStr">
        <is>
          <t>—</t>
        </is>
      </c>
      <c r="C291" s="3" t="inlineStr">
        <is>
          <t>Spellen en speelgoed</t>
        </is>
      </c>
      <c r="D291" s="4" t="inlineStr">
        <is>
          <t>Hoeveel kaarten bevat een klassiek Monopoly-spel in totaal aan eigendoms-, kans- en algemeenfondskaarten?</t>
        </is>
      </c>
      <c r="E291" s="3" t="n">
        <v>60</v>
      </c>
      <c r="F291" s="3" t="inlineStr">
        <is>
          <t>algemeen naslagwerk</t>
        </is>
      </c>
      <c r="G291" s="4" t="inlineStr">
        <is>
          <t>Handmatig opzoeken; geen vaste bron aan te wijzen.</t>
        </is>
      </c>
      <c r="H291" s="3" t="inlineStr"/>
    </row>
    <row r="292">
      <c r="A292" s="3" t="n">
        <v>1334</v>
      </c>
      <c r="B292" s="3" t="inlineStr">
        <is>
          <t>—</t>
        </is>
      </c>
      <c r="C292" s="3" t="inlineStr">
        <is>
          <t>Spellen en speelgoed</t>
        </is>
      </c>
      <c r="D292" s="4" t="inlineStr">
        <is>
          <t>Hoeveel kaarten krijgt iedere speler bij de start van UNO?</t>
        </is>
      </c>
      <c r="E292" s="3" t="n">
        <v>7</v>
      </c>
      <c r="F292" s="3" t="inlineStr">
        <is>
          <t>algemeen naslagwerk</t>
        </is>
      </c>
      <c r="G292" s="4" t="inlineStr">
        <is>
          <t>Handmatig opzoeken; geen vaste bron aan te wijzen.</t>
        </is>
      </c>
      <c r="H292" s="3" t="inlineStr"/>
    </row>
    <row r="293">
      <c r="A293" s="3" t="n">
        <v>1339</v>
      </c>
      <c r="B293" s="3" t="inlineStr">
        <is>
          <t>—</t>
        </is>
      </c>
      <c r="C293" s="3" t="inlineStr">
        <is>
          <t>Spellen en speelgoed</t>
        </is>
      </c>
      <c r="D293" s="4" t="inlineStr">
        <is>
          <t>Hoeveel vakjes telt een internationaal dambord (10×10)?</t>
        </is>
      </c>
      <c r="E293" s="3" t="n">
        <v>100</v>
      </c>
      <c r="F293" s="3" t="inlineStr">
        <is>
          <t>algemeen naslagwerk</t>
        </is>
      </c>
      <c r="G293" s="4" t="inlineStr">
        <is>
          <t>Handmatig opzoeken; geen vaste bron aan te wijzen.</t>
        </is>
      </c>
      <c r="H293" s="3" t="inlineStr"/>
    </row>
    <row r="294">
      <c r="A294" s="3" t="n">
        <v>1340</v>
      </c>
      <c r="B294" s="3" t="inlineStr">
        <is>
          <t>—</t>
        </is>
      </c>
      <c r="C294" s="3" t="inlineStr">
        <is>
          <t>Spellen en speelgoed</t>
        </is>
      </c>
      <c r="D294" s="4" t="inlineStr">
        <is>
          <t>Hoeveel vakken bevat een standaard dambord?</t>
        </is>
      </c>
      <c r="E294" s="3" t="n">
        <v>64</v>
      </c>
      <c r="F294" s="3" t="inlineStr">
        <is>
          <t>algemeen naslagwerk</t>
        </is>
      </c>
      <c r="G294" s="4" t="inlineStr">
        <is>
          <t>Handmatig opzoeken; geen vaste bron aan te wijzen.</t>
        </is>
      </c>
      <c r="H294" s="3" t="inlineStr"/>
    </row>
    <row r="295">
      <c r="A295" s="3" t="n">
        <v>1347</v>
      </c>
      <c r="B295" s="3" t="inlineStr">
        <is>
          <t>—</t>
        </is>
      </c>
      <c r="C295" s="3" t="inlineStr">
        <is>
          <t>Sport</t>
        </is>
      </c>
      <c r="D295" s="4" t="inlineStr">
        <is>
          <t>Hoeveel games worden er in een Wimbledon-set minimaal gewonnen om de set te pakken?</t>
        </is>
      </c>
      <c r="E295" s="3" t="n">
        <v>6</v>
      </c>
      <c r="F295" s="3" t="inlineStr">
        <is>
          <t>algemeen naslagwerk</t>
        </is>
      </c>
      <c r="G295" s="4" t="inlineStr">
        <is>
          <t>Handmatig opzoeken; geen vaste bron aan te wijzen.</t>
        </is>
      </c>
      <c r="H295" s="3" t="inlineStr"/>
    </row>
    <row r="296">
      <c r="A296" s="3" t="n">
        <v>1353</v>
      </c>
      <c r="B296" s="3" t="inlineStr">
        <is>
          <t>—</t>
        </is>
      </c>
      <c r="C296" s="3" t="inlineStr">
        <is>
          <t>Sport</t>
        </is>
      </c>
      <c r="D296" s="4" t="inlineStr">
        <is>
          <t>Hoeveel jaar zit er tussen twee WK-voetbaltoernooien?</t>
        </is>
      </c>
      <c r="E296" s="3" t="n">
        <v>4</v>
      </c>
      <c r="F296" s="3" t="inlineStr">
        <is>
          <t>algemeen naslagwerk</t>
        </is>
      </c>
      <c r="G296" s="4" t="inlineStr">
        <is>
          <t>Handmatig opzoeken; geen vaste bron aan te wijzen.</t>
        </is>
      </c>
      <c r="H296" s="3" t="inlineStr"/>
    </row>
    <row r="297">
      <c r="A297" s="3" t="n">
        <v>1354</v>
      </c>
      <c r="B297" s="3" t="inlineStr">
        <is>
          <t>—</t>
        </is>
      </c>
      <c r="C297" s="3" t="inlineStr">
        <is>
          <t>Sport</t>
        </is>
      </c>
      <c r="D297" s="4" t="inlineStr">
        <is>
          <t>Hoeveel jaar zit er tussen twee zomer-Olympische Spelen?</t>
        </is>
      </c>
      <c r="E297" s="3" t="n">
        <v>4</v>
      </c>
      <c r="F297" s="3" t="inlineStr">
        <is>
          <t>algemeen naslagwerk</t>
        </is>
      </c>
      <c r="G297" s="4" t="inlineStr">
        <is>
          <t>Handmatig opzoeken; geen vaste bron aan te wijzen.</t>
        </is>
      </c>
      <c r="H297" s="3" t="inlineStr"/>
    </row>
    <row r="298">
      <c r="A298" s="3" t="n">
        <v>1355</v>
      </c>
      <c r="B298" s="3" t="inlineStr">
        <is>
          <t>—</t>
        </is>
      </c>
      <c r="C298" s="3" t="inlineStr">
        <is>
          <t>Sport</t>
        </is>
      </c>
      <c r="D298" s="4" t="inlineStr">
        <is>
          <t>Hoeveel keer was Australië gastheer van de zomer-Olympische Spelen (tot 2032)?</t>
        </is>
      </c>
      <c r="E298" s="3" t="n">
        <v>3</v>
      </c>
      <c r="F298" s="3" t="inlineStr">
        <is>
          <t>algemeen naslagwerk</t>
        </is>
      </c>
      <c r="G298" s="4" t="inlineStr">
        <is>
          <t>Handmatig opzoeken; geen vaste bron aan te wijzen.</t>
        </is>
      </c>
      <c r="H298" s="3" t="inlineStr"/>
    </row>
    <row r="299">
      <c r="A299" s="3" t="n">
        <v>1374</v>
      </c>
      <c r="B299" s="3" t="inlineStr">
        <is>
          <t>—</t>
        </is>
      </c>
      <c r="C299" s="3" t="inlineStr">
        <is>
          <t>Sport</t>
        </is>
      </c>
      <c r="D299" s="4" t="inlineStr">
        <is>
          <t>Hoeveel kuiven heeft een honkbalveld (bases plus home plate)?</t>
        </is>
      </c>
      <c r="E299" s="3" t="n">
        <v>4</v>
      </c>
      <c r="F299" s="3" t="inlineStr">
        <is>
          <t>algemeen naslagwerk</t>
        </is>
      </c>
      <c r="G299" s="4" t="inlineStr">
        <is>
          <t>Handmatig opzoeken; geen vaste bron aan te wijzen.</t>
        </is>
      </c>
      <c r="H299" s="3" t="inlineStr"/>
    </row>
    <row r="300">
      <c r="A300" s="3" t="n">
        <v>1379</v>
      </c>
      <c r="B300" s="3" t="inlineStr">
        <is>
          <t>—</t>
        </is>
      </c>
      <c r="C300" s="3" t="inlineStr">
        <is>
          <t>Sport</t>
        </is>
      </c>
      <c r="D300" s="4" t="inlineStr">
        <is>
          <t>Hoeveel meter is de klassieke sprintafstand in de atletiek?</t>
        </is>
      </c>
      <c r="E300" s="3" t="n">
        <v>100</v>
      </c>
      <c r="F300" s="3" t="inlineStr">
        <is>
          <t>algemeen naslagwerk</t>
        </is>
      </c>
      <c r="G300" s="4" t="inlineStr">
        <is>
          <t>Handmatig opzoeken; geen vaste bron aan te wijzen.</t>
        </is>
      </c>
      <c r="H300" s="3" t="inlineStr"/>
    </row>
    <row r="301">
      <c r="A301" s="3" t="n">
        <v>1383</v>
      </c>
      <c r="B301" s="3" t="inlineStr">
        <is>
          <t>—</t>
        </is>
      </c>
      <c r="C301" s="3" t="inlineStr">
        <is>
          <t>Sport</t>
        </is>
      </c>
      <c r="D301" s="4" t="inlineStr">
        <is>
          <t>Hoeveel meter sprintt een schaatser op de kortebaan-afstand?</t>
        </is>
      </c>
      <c r="E301" s="3" t="n">
        <v>500</v>
      </c>
      <c r="F301" s="3" t="inlineStr">
        <is>
          <t>algemeen naslagwerk</t>
        </is>
      </c>
      <c r="G301" s="4" t="inlineStr">
        <is>
          <t>Handmatig opzoeken; geen vaste bron aan te wijzen.</t>
        </is>
      </c>
      <c r="H301" s="3" t="inlineStr"/>
    </row>
    <row r="302">
      <c r="A302" s="3" t="n">
        <v>1384</v>
      </c>
      <c r="B302" s="3" t="inlineStr">
        <is>
          <t>—</t>
        </is>
      </c>
      <c r="C302" s="3" t="inlineStr">
        <is>
          <t>Sport</t>
        </is>
      </c>
      <c r="D302" s="4" t="inlineStr">
        <is>
          <t>Hoeveel minuten duurt een NBA-basketbalwedstrijd officieel?</t>
        </is>
      </c>
      <c r="E302" s="3" t="n">
        <v>48</v>
      </c>
      <c r="F302" s="3" t="inlineStr">
        <is>
          <t>algemeen naslagwerk</t>
        </is>
      </c>
      <c r="G302" s="4" t="inlineStr">
        <is>
          <t>Handmatig opzoeken; geen vaste bron aan te wijzen.</t>
        </is>
      </c>
      <c r="H302" s="3" t="inlineStr"/>
    </row>
    <row r="303">
      <c r="A303" s="3" t="n">
        <v>1385</v>
      </c>
      <c r="B303" s="3" t="inlineStr">
        <is>
          <t>—</t>
        </is>
      </c>
      <c r="C303" s="3" t="inlineStr">
        <is>
          <t>Sport</t>
        </is>
      </c>
      <c r="D303" s="4" t="inlineStr">
        <is>
          <t>Hoeveel minuten duurt een ijshockeywedstrijd netto?</t>
        </is>
      </c>
      <c r="E303" s="3" t="n">
        <v>60</v>
      </c>
      <c r="F303" s="3" t="inlineStr">
        <is>
          <t>algemeen naslagwerk</t>
        </is>
      </c>
      <c r="G303" s="4" t="inlineStr">
        <is>
          <t>Handmatig opzoeken; geen vaste bron aan te wijzen.</t>
        </is>
      </c>
      <c r="H303" s="3" t="inlineStr"/>
    </row>
    <row r="304">
      <c r="A304" s="3" t="n">
        <v>1386</v>
      </c>
      <c r="B304" s="3" t="inlineStr">
        <is>
          <t>—</t>
        </is>
      </c>
      <c r="C304" s="3" t="inlineStr">
        <is>
          <t>Sport</t>
        </is>
      </c>
      <c r="D304" s="4" t="inlineStr">
        <is>
          <t>Hoeveel minuten duurt een rugbywedstrijd netto?</t>
        </is>
      </c>
      <c r="E304" s="3" t="n">
        <v>80</v>
      </c>
      <c r="F304" s="3" t="inlineStr">
        <is>
          <t>algemeen naslagwerk</t>
        </is>
      </c>
      <c r="G304" s="4" t="inlineStr">
        <is>
          <t>Handmatig opzoeken; geen vaste bron aan te wijzen.</t>
        </is>
      </c>
      <c r="H304" s="3" t="inlineStr"/>
    </row>
    <row r="305">
      <c r="A305" s="3" t="n">
        <v>1392</v>
      </c>
      <c r="B305" s="3" t="inlineStr">
        <is>
          <t>—</t>
        </is>
      </c>
      <c r="C305" s="3" t="inlineStr">
        <is>
          <t>Sport</t>
        </is>
      </c>
      <c r="D305" s="4" t="inlineStr">
        <is>
          <t>Hoeveel pijlen gooit een darter per beurt?</t>
        </is>
      </c>
      <c r="E305" s="3" t="n">
        <v>3</v>
      </c>
      <c r="F305" s="3" t="inlineStr">
        <is>
          <t>algemeen naslagwerk</t>
        </is>
      </c>
      <c r="G305" s="4" t="inlineStr">
        <is>
          <t>Handmatig opzoeken; geen vaste bron aan te wijzen.</t>
        </is>
      </c>
      <c r="H305" s="3" t="inlineStr"/>
    </row>
    <row r="306">
      <c r="A306" s="3" t="n">
        <v>1394</v>
      </c>
      <c r="B306" s="3" t="inlineStr">
        <is>
          <t>—</t>
        </is>
      </c>
      <c r="C306" s="3" t="inlineStr">
        <is>
          <t>Sport</t>
        </is>
      </c>
      <c r="D306" s="4" t="inlineStr">
        <is>
          <t>Hoeveel proloog kilometers telt een Tour de France etappe bijna nooit?</t>
        </is>
      </c>
      <c r="E306" s="3" t="n">
        <v>0</v>
      </c>
      <c r="F306" s="3" t="inlineStr">
        <is>
          <t>algemeen naslagwerk</t>
        </is>
      </c>
      <c r="G306" s="4" t="inlineStr">
        <is>
          <t>Handmatig opzoeken; geen vaste bron aan te wijzen.</t>
        </is>
      </c>
      <c r="H306" s="3" t="inlineStr"/>
    </row>
    <row r="307">
      <c r="A307" s="3" t="n">
        <v>1395</v>
      </c>
      <c r="B307" s="3" t="inlineStr">
        <is>
          <t>—</t>
        </is>
      </c>
      <c r="C307" s="3" t="inlineStr">
        <is>
          <t>Sport</t>
        </is>
      </c>
      <c r="D307" s="4" t="inlineStr">
        <is>
          <t>Hoeveel punten is een maximale dartscore met drie pijlen?</t>
        </is>
      </c>
      <c r="E307" s="3" t="n">
        <v>180</v>
      </c>
      <c r="F307" s="3" t="inlineStr">
        <is>
          <t>algemeen naslagwerk</t>
        </is>
      </c>
      <c r="G307" s="4" t="inlineStr">
        <is>
          <t>Handmatig opzoeken; geen vaste bron aan te wijzen.</t>
        </is>
      </c>
      <c r="H307" s="3" t="inlineStr"/>
    </row>
    <row r="308">
      <c r="A308" s="3" t="n">
        <v>1413</v>
      </c>
      <c r="B308" s="3" t="inlineStr">
        <is>
          <t>—</t>
        </is>
      </c>
      <c r="C308" s="3" t="inlineStr">
        <is>
          <t>Sport</t>
        </is>
      </c>
      <c r="D308" s="4" t="inlineStr">
        <is>
          <t>Hoeveel teams spelen er in de NBA?</t>
        </is>
      </c>
      <c r="E308" s="3" t="n">
        <v>30</v>
      </c>
      <c r="F308" s="3" t="inlineStr">
        <is>
          <t>algemeen naslagwerk</t>
        </is>
      </c>
      <c r="G308" s="4" t="inlineStr">
        <is>
          <t>Handmatig opzoeken; geen vaste bron aan te wijzen.</t>
        </is>
      </c>
      <c r="H308" s="3" t="inlineStr"/>
    </row>
    <row r="309">
      <c r="A309" s="3" t="n">
        <v>1414</v>
      </c>
      <c r="B309" s="3" t="inlineStr">
        <is>
          <t>—</t>
        </is>
      </c>
      <c r="C309" s="3" t="inlineStr">
        <is>
          <t>Sport</t>
        </is>
      </c>
      <c r="D309" s="4" t="inlineStr">
        <is>
          <t>Hoeveel teams spelen er in de NFL?</t>
        </is>
      </c>
      <c r="E309" s="3" t="n">
        <v>32</v>
      </c>
      <c r="F309" s="3" t="inlineStr">
        <is>
          <t>algemeen naslagwerk</t>
        </is>
      </c>
      <c r="G309" s="4" t="inlineStr">
        <is>
          <t>Handmatig opzoeken; geen vaste bron aan te wijzen.</t>
        </is>
      </c>
      <c r="H309" s="3" t="inlineStr"/>
    </row>
    <row r="310">
      <c r="A310" s="3" t="n">
        <v>1472</v>
      </c>
      <c r="B310" s="3" t="inlineStr">
        <is>
          <t>—</t>
        </is>
      </c>
      <c r="C310" s="3" t="inlineStr">
        <is>
          <t>Technologie</t>
        </is>
      </c>
      <c r="D310" s="4" t="inlineStr">
        <is>
          <t>In welk jaar werd de Toyota motorfiets eerste gebouwd - nee Toyota is auto (1885 Daimler - dit zit niet in Azië)?</t>
        </is>
      </c>
      <c r="E310" s="3" t="n">
        <v>0</v>
      </c>
      <c r="F310" s="3" t="inlineStr">
        <is>
          <t>algemeen naslagwerk</t>
        </is>
      </c>
      <c r="G310" s="4" t="inlineStr">
        <is>
          <t>Handmatig opzoeken; geen vaste bron aan te wijzen.</t>
        </is>
      </c>
      <c r="H310" s="3" t="inlineStr"/>
    </row>
    <row r="311">
      <c r="A311" s="3" t="n">
        <v>1486</v>
      </c>
      <c r="B311" s="3" t="inlineStr">
        <is>
          <t>—</t>
        </is>
      </c>
      <c r="C311" s="3" t="inlineStr">
        <is>
          <t>Vervoer</t>
        </is>
      </c>
      <c r="D311" s="4" t="inlineStr">
        <is>
          <t>Hoeveel gategebieden heeft Atlanta Airport?</t>
        </is>
      </c>
      <c r="E311" s="3" t="n">
        <v>7</v>
      </c>
      <c r="F311" s="3" t="inlineStr">
        <is>
          <t>algemeen naslagwerk</t>
        </is>
      </c>
      <c r="G311" s="4" t="inlineStr">
        <is>
          <t>Handmatig opzoeken; geen vaste bron aan te wijzen.</t>
        </is>
      </c>
      <c r="H311" s="3" t="inlineStr"/>
    </row>
    <row r="312">
      <c r="A312" s="3" t="n">
        <v>1506</v>
      </c>
      <c r="B312" s="3" t="inlineStr">
        <is>
          <t>—</t>
        </is>
      </c>
      <c r="C312" s="3" t="inlineStr">
        <is>
          <t>Wiskunde</t>
        </is>
      </c>
      <c r="D312" s="4" t="inlineStr">
        <is>
          <t>Hoeveel graden is elke binnenhoek van een regelmatige zeshoek?</t>
        </is>
      </c>
      <c r="E312" s="3" t="n">
        <v>120</v>
      </c>
      <c r="F312" s="3" t="inlineStr">
        <is>
          <t>algemeen naslagwerk</t>
        </is>
      </c>
      <c r="G312" s="4" t="inlineStr">
        <is>
          <t>Handmatig opzoeken; geen vaste bron aan te wijzen.</t>
        </is>
      </c>
      <c r="H312" s="3" t="inlineStr"/>
    </row>
    <row r="313">
      <c r="A313" s="3" t="n">
        <v>1140</v>
      </c>
      <c r="B313" s="3" t="inlineStr">
        <is>
          <t>—</t>
        </is>
      </c>
      <c r="C313" s="3" t="inlineStr">
        <is>
          <t>Natuurkunde</t>
        </is>
      </c>
      <c r="D313" s="4" t="inlineStr">
        <is>
          <t>Hoeveel meter per seconde meet een wind van windkracht 5?</t>
        </is>
      </c>
      <c r="E313" s="3" t="n">
        <v>10</v>
      </c>
      <c r="F313" s="3" t="inlineStr">
        <is>
          <t>bedrijfscijfer</t>
        </is>
      </c>
      <c r="G313" s="4" t="inlineStr">
        <is>
          <t>Jaarverslag of persmap van het bedrijf zelf.</t>
        </is>
      </c>
      <c r="H313" s="3" t="inlineStr"/>
    </row>
    <row r="314">
      <c r="A314" s="3" t="n">
        <v>1454</v>
      </c>
      <c r="B314" s="3" t="inlineStr">
        <is>
          <t>—</t>
        </is>
      </c>
      <c r="C314" s="3" t="inlineStr">
        <is>
          <t>Technologie</t>
        </is>
      </c>
      <c r="D314" s="4" t="inlineStr">
        <is>
          <t>Hoeveel frames per seconde toont een standaard bioscoopfilm?</t>
        </is>
      </c>
      <c r="E314" s="3" t="n">
        <v>24</v>
      </c>
      <c r="F314" s="3" t="inlineStr">
        <is>
          <t>bedrijfscijfer</t>
        </is>
      </c>
      <c r="G314" s="4" t="inlineStr">
        <is>
          <t>Jaarverslag of persmap van het bedrijf zelf.</t>
        </is>
      </c>
      <c r="H314" s="3" t="inlineStr"/>
    </row>
    <row r="315">
      <c r="A315" s="3" t="n">
        <v>1488</v>
      </c>
      <c r="B315" s="3" t="inlineStr">
        <is>
          <t>—</t>
        </is>
      </c>
      <c r="C315" s="3" t="inlineStr">
        <is>
          <t>Vervoer</t>
        </is>
      </c>
      <c r="D315" s="4" t="inlineStr">
        <is>
          <t>Hoeveel miljoen nieuwe personenauto’s worden er wereldwijd per jaar geproduceerd?</t>
        </is>
      </c>
      <c r="E315" s="3" t="n">
        <v>85</v>
      </c>
      <c r="F315" s="3" t="inlineStr">
        <is>
          <t>bedrijfscijfer</t>
        </is>
      </c>
      <c r="G315" s="4" t="inlineStr">
        <is>
          <t>Jaarverslag of persmap van het bedrijf zelf.</t>
        </is>
      </c>
      <c r="H315" s="3" t="inlineStr"/>
    </row>
    <row r="316">
      <c r="A316" s="3" t="n">
        <v>638</v>
      </c>
      <c r="B316" s="3" t="inlineStr">
        <is>
          <t>—</t>
        </is>
      </c>
      <c r="C316" s="3" t="inlineStr">
        <is>
          <t>Dieren</t>
        </is>
      </c>
      <c r="D316" s="4" t="inlineStr">
        <is>
          <t>Hoeveel eieren legt een kangoeroe per worp?</t>
        </is>
      </c>
      <c r="E316" s="3" t="n">
        <v>0</v>
      </c>
      <c r="F316" s="3" t="inlineStr">
        <is>
          <t>natuurgegevens</t>
        </is>
      </c>
      <c r="G316" s="4" t="inlineStr">
        <is>
          <t>IUCN Red List, of een naslagwerk als de Encyclopedia of Life.</t>
        </is>
      </c>
      <c r="H316" s="3" t="inlineStr"/>
    </row>
    <row r="317">
      <c r="A317" s="3" t="n">
        <v>647</v>
      </c>
      <c r="B317" s="3" t="inlineStr">
        <is>
          <t>—</t>
        </is>
      </c>
      <c r="C317" s="3" t="inlineStr">
        <is>
          <t>Dieren</t>
        </is>
      </c>
      <c r="D317" s="4" t="inlineStr">
        <is>
          <t>Hoeveel kilogram weegt een volwassen mannelijke Bengaalse tijger?</t>
        </is>
      </c>
      <c r="E317" s="3" t="n">
        <v>220</v>
      </c>
      <c r="F317" s="3" t="inlineStr">
        <is>
          <t>natuurgegevens</t>
        </is>
      </c>
      <c r="G317" s="4" t="inlineStr">
        <is>
          <t>IUCN Red List, of een naslagwerk als de Encyclopedia of Life.</t>
        </is>
      </c>
      <c r="H317" s="3" t="inlineStr"/>
    </row>
    <row r="318">
      <c r="A318" s="3" t="n">
        <v>657</v>
      </c>
      <c r="B318" s="3" t="inlineStr">
        <is>
          <t>—</t>
        </is>
      </c>
      <c r="C318" s="3" t="inlineStr">
        <is>
          <t>Dieren</t>
        </is>
      </c>
      <c r="D318" s="4" t="inlineStr">
        <is>
          <t>Hoeveel kilometer per uur sprint een leeuw?</t>
        </is>
      </c>
      <c r="E318" s="3" t="n">
        <v>80</v>
      </c>
      <c r="F318" s="3" t="inlineStr">
        <is>
          <t>natuurgegevens</t>
        </is>
      </c>
      <c r="G318" s="4" t="inlineStr">
        <is>
          <t>IUCN Red List, of een naslagwerk als de Encyclopedia of Life.</t>
        </is>
      </c>
      <c r="H318" s="3" t="inlineStr"/>
    </row>
    <row r="319">
      <c r="A319" s="3" t="n">
        <v>663</v>
      </c>
      <c r="B319" s="3" t="inlineStr">
        <is>
          <t>—</t>
        </is>
      </c>
      <c r="C319" s="3" t="inlineStr">
        <is>
          <t>Dieren</t>
        </is>
      </c>
      <c r="D319" s="4" t="inlineStr">
        <is>
          <t>Hoeveel meter lang wordt een Afrikaanse olifant?</t>
        </is>
      </c>
      <c r="E319" s="3" t="n">
        <v>7</v>
      </c>
      <c r="F319" s="3" t="inlineStr">
        <is>
          <t>natuurgegevens</t>
        </is>
      </c>
      <c r="G319" s="4" t="inlineStr">
        <is>
          <t>IUCN Red List, of een naslagwerk als de Encyclopedia of Life.</t>
        </is>
      </c>
      <c r="H319" s="3" t="inlineStr"/>
    </row>
    <row r="320">
      <c r="A320" s="3" t="n">
        <v>675</v>
      </c>
      <c r="B320" s="3" t="inlineStr">
        <is>
          <t>—</t>
        </is>
      </c>
      <c r="C320" s="3" t="inlineStr">
        <is>
          <t>Dieren</t>
        </is>
      </c>
      <c r="D320" s="4" t="inlineStr">
        <is>
          <t>Hoeveel soorten telt de kangoeroefamilie (Macropodidae)?</t>
        </is>
      </c>
      <c r="E320" s="3" t="n">
        <v>65</v>
      </c>
      <c r="F320" s="3" t="inlineStr">
        <is>
          <t>natuurgegevens</t>
        </is>
      </c>
      <c r="G320" s="4" t="inlineStr">
        <is>
          <t>IUCN Red List, of een naslagwerk als de Encyclopedia of Life.</t>
        </is>
      </c>
      <c r="H320" s="3" t="inlineStr"/>
    </row>
    <row r="321">
      <c r="A321" s="3" t="n">
        <v>686</v>
      </c>
      <c r="B321" s="3" t="inlineStr">
        <is>
          <t>—</t>
        </is>
      </c>
      <c r="C321" s="3" t="inlineStr">
        <is>
          <t>Dieren</t>
        </is>
      </c>
      <c r="D321" s="4" t="inlineStr">
        <is>
          <t>Hoeveel uur per dag slaapt een koala?</t>
        </is>
      </c>
      <c r="E321" s="3" t="n">
        <v>20</v>
      </c>
      <c r="F321" s="3" t="inlineStr">
        <is>
          <t>natuurgegevens</t>
        </is>
      </c>
      <c r="G321" s="4" t="inlineStr">
        <is>
          <t>IUCN Red List, of een naslagwerk als de Encyclopedia of Life.</t>
        </is>
      </c>
      <c r="H321" s="3" t="inlineStr"/>
    </row>
    <row r="322">
      <c r="A322" s="3" t="n">
        <v>687</v>
      </c>
      <c r="B322" s="3" t="inlineStr">
        <is>
          <t>—</t>
        </is>
      </c>
      <c r="C322" s="3" t="inlineStr">
        <is>
          <t>Dieren</t>
        </is>
      </c>
      <c r="D322" s="4" t="inlineStr">
        <is>
          <t>Hoeveel uur per dag slaapt een leeuw gemiddeld?</t>
        </is>
      </c>
      <c r="E322" s="3" t="n">
        <v>20</v>
      </c>
      <c r="F322" s="3" t="inlineStr">
        <is>
          <t>natuurgegevens</t>
        </is>
      </c>
      <c r="G322" s="4" t="inlineStr">
        <is>
          <t>IUCN Red List, of een naslagwerk als de Encyclopedia of Life.</t>
        </is>
      </c>
      <c r="H322" s="3" t="inlineStr"/>
    </row>
    <row r="323">
      <c r="A323" s="3" t="n">
        <v>723</v>
      </c>
      <c r="B323" s="3" t="inlineStr">
        <is>
          <t>—</t>
        </is>
      </c>
      <c r="C323" s="3" t="inlineStr">
        <is>
          <t>Eten &amp; drinken</t>
        </is>
      </c>
      <c r="D323" s="4" t="inlineStr">
        <is>
          <t>Hoeveel soorten worst kent de Duitse keuken ongeveer?</t>
        </is>
      </c>
      <c r="E323" s="3" t="n">
        <v>300</v>
      </c>
      <c r="F323" s="3" t="inlineStr">
        <is>
          <t>natuurgegevens</t>
        </is>
      </c>
      <c r="G323" s="4" t="inlineStr">
        <is>
          <t>IUCN Red List, of een naslagwerk als de Encyclopedia of Life.</t>
        </is>
      </c>
      <c r="H323" s="3" t="inlineStr"/>
    </row>
    <row r="324">
      <c r="A324" s="3" t="n">
        <v>1235</v>
      </c>
      <c r="B324" s="3" t="inlineStr">
        <is>
          <t>—</t>
        </is>
      </c>
      <c r="C324" s="3" t="inlineStr">
        <is>
          <t>Sport</t>
        </is>
      </c>
      <c r="D324" s="4" t="inlineStr">
        <is>
          <t>Hoeveel spelers zitten er in een Nederlands korfbalteam op het veld?</t>
        </is>
      </c>
      <c r="E324" s="3" t="n">
        <v>8</v>
      </c>
      <c r="F324" s="3" t="inlineStr">
        <is>
          <t>sportbond of competitie</t>
        </is>
      </c>
      <c r="G324" s="4" t="inlineStr">
        <is>
          <t>Het reglement van de bond (FIFA, NBA, UCI, World Rugby).</t>
        </is>
      </c>
      <c r="H324" s="3" t="inlineStr"/>
    </row>
    <row r="325">
      <c r="A325" s="3" t="n">
        <v>1388</v>
      </c>
      <c r="B325" s="3" t="inlineStr">
        <is>
          <t>—</t>
        </is>
      </c>
      <c r="C325" s="3" t="inlineStr">
        <is>
          <t>Sport</t>
        </is>
      </c>
      <c r="D325" s="4" t="inlineStr">
        <is>
          <t>Hoeveel minuten officiële speeltijd heeft een NBA-wedstrijd?</t>
        </is>
      </c>
      <c r="E325" s="3" t="n">
        <v>48</v>
      </c>
      <c r="F325" s="3" t="inlineStr">
        <is>
          <t>sportbond of competitie</t>
        </is>
      </c>
      <c r="G325" s="4" t="inlineStr">
        <is>
          <t>Het reglement van de bond (FIFA, NBA, UCI, World Rugby).</t>
        </is>
      </c>
      <c r="H325" s="3" t="inlineStr"/>
    </row>
    <row r="326">
      <c r="A326" s="3" t="n">
        <v>1389</v>
      </c>
      <c r="B326" s="3" t="inlineStr">
        <is>
          <t>—</t>
        </is>
      </c>
      <c r="C326" s="3" t="inlineStr">
        <is>
          <t>Sport</t>
        </is>
      </c>
      <c r="D326" s="4" t="inlineStr">
        <is>
          <t>Hoeveel minuten officiële speeltijd heeft een NFL-wedstrijd?</t>
        </is>
      </c>
      <c r="E326" s="3" t="n">
        <v>60</v>
      </c>
      <c r="F326" s="3" t="inlineStr">
        <is>
          <t>sportbond of competitie</t>
        </is>
      </c>
      <c r="G326" s="4" t="inlineStr">
        <is>
          <t>Het reglement van de bond (FIFA, NBA, UCI, World Rugby).</t>
        </is>
      </c>
      <c r="H326" s="3" t="inlineStr"/>
    </row>
    <row r="327">
      <c r="A327" s="3" t="n">
        <v>1393</v>
      </c>
      <c r="B327" s="3" t="inlineStr">
        <is>
          <t>—</t>
        </is>
      </c>
      <c r="C327" s="3" t="inlineStr">
        <is>
          <t>Sport</t>
        </is>
      </c>
      <c r="D327" s="4" t="inlineStr">
        <is>
          <t>Hoeveel pogingen heeft een gewichtheffer per discipline?</t>
        </is>
      </c>
      <c r="E327" s="3" t="n">
        <v>3</v>
      </c>
      <c r="F327" s="3" t="inlineStr">
        <is>
          <t>sportbond of competitie</t>
        </is>
      </c>
      <c r="G327" s="4" t="inlineStr">
        <is>
          <t>Het reglement van de bond (FIFA, NBA, UCI, World Rugby).</t>
        </is>
      </c>
      <c r="H327" s="3" t="inlineStr"/>
    </row>
    <row r="328">
      <c r="A328" s="3" t="n">
        <v>1402</v>
      </c>
      <c r="B328" s="3" t="inlineStr">
        <is>
          <t>—</t>
        </is>
      </c>
      <c r="C328" s="3" t="inlineStr">
        <is>
          <t>Sport</t>
        </is>
      </c>
      <c r="D328" s="4" t="inlineStr">
        <is>
          <t>Hoeveel spelers heeft een basketbalteam op het veld per ploeg?</t>
        </is>
      </c>
      <c r="E328" s="3" t="n">
        <v>5</v>
      </c>
      <c r="F328" s="3" t="inlineStr">
        <is>
          <t>sportbond of competitie</t>
        </is>
      </c>
      <c r="G328" s="4" t="inlineStr">
        <is>
          <t>Het reglement van de bond (FIFA, NBA, UCI, World Rugby).</t>
        </is>
      </c>
      <c r="H328" s="3" t="inlineStr"/>
    </row>
    <row r="329">
      <c r="A329" s="3" t="n">
        <v>1404</v>
      </c>
      <c r="B329" s="3" t="inlineStr">
        <is>
          <t>—</t>
        </is>
      </c>
      <c r="C329" s="3" t="inlineStr">
        <is>
          <t>Sport</t>
        </is>
      </c>
      <c r="D329" s="4" t="inlineStr">
        <is>
          <t>Hoeveel spelers heeft een hockeyteam op het veld per ploeg?</t>
        </is>
      </c>
      <c r="E329" s="3" t="n">
        <v>11</v>
      </c>
      <c r="F329" s="3" t="inlineStr">
        <is>
          <t>sportbond of competitie</t>
        </is>
      </c>
      <c r="G329" s="4" t="inlineStr">
        <is>
          <t>Het reglement van de bond (FIFA, NBA, UCI, World Rugby).</t>
        </is>
      </c>
      <c r="H329" s="3" t="inlineStr"/>
    </row>
    <row r="330">
      <c r="A330" s="3" t="n">
        <v>1405</v>
      </c>
      <c r="B330" s="3" t="inlineStr">
        <is>
          <t>—</t>
        </is>
      </c>
      <c r="C330" s="3" t="inlineStr">
        <is>
          <t>Sport</t>
        </is>
      </c>
      <c r="D330" s="4" t="inlineStr">
        <is>
          <t>Hoeveel spelers heeft een rugbyteam per ploeg op het veld (union)?</t>
        </is>
      </c>
      <c r="E330" s="3" t="n">
        <v>15</v>
      </c>
      <c r="F330" s="3" t="inlineStr">
        <is>
          <t>sportbond of competitie</t>
        </is>
      </c>
      <c r="G330" s="4" t="inlineStr">
        <is>
          <t>Het reglement van de bond (FIFA, NBA, UCI, World Rugby).</t>
        </is>
      </c>
      <c r="H330" s="3" t="inlineStr"/>
    </row>
    <row r="331">
      <c r="A331" s="3" t="n">
        <v>1411</v>
      </c>
      <c r="B331" s="3" t="inlineStr">
        <is>
          <t>—</t>
        </is>
      </c>
      <c r="C331" s="3" t="inlineStr">
        <is>
          <t>Sport</t>
        </is>
      </c>
      <c r="D331" s="4" t="inlineStr">
        <is>
          <t>Hoeveel spelers staat er per ploeg op het veld bij een rugby league-wedstrijd?</t>
        </is>
      </c>
      <c r="E331" s="3" t="n">
        <v>13</v>
      </c>
      <c r="F331" s="3" t="inlineStr">
        <is>
          <t>sportbond of competitie</t>
        </is>
      </c>
      <c r="G331" s="4" t="inlineStr">
        <is>
          <t>Het reglement van de bond (FIFA, NBA, UCI, World Rugby).</t>
        </is>
      </c>
      <c r="H331" s="3" t="inlineStr"/>
    </row>
    <row r="332">
      <c r="A332" s="3" t="n">
        <v>1412</v>
      </c>
      <c r="B332" s="3" t="inlineStr">
        <is>
          <t>—</t>
        </is>
      </c>
      <c r="C332" s="3" t="inlineStr">
        <is>
          <t>Sport</t>
        </is>
      </c>
      <c r="D332" s="4" t="inlineStr">
        <is>
          <t>Hoeveel spelers telt een volleybalteam op het veld?</t>
        </is>
      </c>
      <c r="E332" s="3" t="n">
        <v>6</v>
      </c>
      <c r="F332" s="3" t="inlineStr">
        <is>
          <t>sportbond of competitie</t>
        </is>
      </c>
      <c r="G332" s="4" t="inlineStr">
        <is>
          <t>Het reglement van de bond (FIFA, NBA, UCI, World Rugby).</t>
        </is>
      </c>
      <c r="H332" s="3" t="inlineStr"/>
    </row>
    <row r="333">
      <c r="A333" s="3" t="n">
        <v>1171</v>
      </c>
      <c r="B333" s="3" t="inlineStr">
        <is>
          <t>—</t>
        </is>
      </c>
      <c r="C333" s="3" t="inlineStr">
        <is>
          <t>Eten &amp; drinken</t>
        </is>
      </c>
      <c r="D333" s="4" t="inlineStr">
        <is>
          <t>Hoeveel gram suiker bevat een standaard reep chocolade van Droste van 100 gram ongeveer?</t>
        </is>
      </c>
      <c r="E333" s="3" t="n">
        <v>55</v>
      </c>
      <c r="F333" s="3" t="inlineStr">
        <is>
          <t>voedingswaarde</t>
        </is>
      </c>
      <c r="G333" s="4" t="inlineStr">
        <is>
          <t>Voedingscentrum (NL) of de USDA FoodData Central (internationaal).</t>
        </is>
      </c>
      <c r="H333" s="3" t="inlineStr"/>
    </row>
  </sheetData>
  <autoFilter ref="A1:H3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6" customWidth="1" min="2" max="2"/>
    <col width="11" customWidth="1" min="3" max="3"/>
    <col width="44" customWidth="1" min="4" max="4"/>
    <col width="26" customWidth="1" min="5" max="5"/>
    <col width="70" customWidth="1" min="6" max="6"/>
    <col width="34" customWidth="1" min="7" max="7"/>
  </cols>
  <sheetData>
    <row r="1" ht="28" customHeight="1">
      <c r="A1" s="2" t="inlineStr">
        <is>
          <t>Nr</t>
        </is>
      </c>
      <c r="B1" s="2" t="inlineStr">
        <is>
          <t>Vraag NL</t>
        </is>
      </c>
      <c r="C1" s="2" t="inlineStr">
        <is>
          <t>Antwoord</t>
        </is>
      </c>
      <c r="D1" s="2" t="inlineStr">
        <is>
          <t>Bron</t>
        </is>
      </c>
      <c r="E1" s="2" t="inlineStr">
        <is>
          <t>Artikel</t>
        </is>
      </c>
      <c r="F1" s="2" t="inlineStr">
        <is>
          <t>Bewijszin</t>
        </is>
      </c>
      <c r="G1" s="2" t="inlineStr">
        <is>
          <t>Toelichting</t>
        </is>
      </c>
    </row>
    <row r="2">
      <c r="A2" s="3" t="n">
        <v>44</v>
      </c>
      <c r="B2" s="4" t="inlineStr">
        <is>
          <t>Hoeveel centimeter breed is de Mona Lisa?</t>
        </is>
      </c>
      <c r="C2" s="3" t="n">
        <v>53</v>
      </c>
      <c r="D2" s="3" t="inlineStr">
        <is>
          <t>https://nl.wikipedia.org/wiki/Mona_Lisa</t>
        </is>
      </c>
      <c r="E2" s="3" t="inlineStr">
        <is>
          <t>Mona Lisa</t>
        </is>
      </c>
      <c r="F2" s="4" t="inlineStr">
        <is>
          <t>| breedte = 53</t>
        </is>
      </c>
      <c r="G2" s="3" t="inlineStr">
        <is>
          <t>infobox-veld "breedte" bevat het antwoord</t>
        </is>
      </c>
    </row>
    <row r="3">
      <c r="A3" s="3" t="n">
        <v>61</v>
      </c>
      <c r="B3" s="4" t="inlineStr">
        <is>
          <t>Hoe hoog is de Euromast in Rotterdam?</t>
        </is>
      </c>
      <c r="C3" s="3" t="n">
        <v>185</v>
      </c>
      <c r="D3" s="3" t="inlineStr">
        <is>
          <t>https://nl.wikipedia.org/wiki/Rotterdam</t>
        </is>
      </c>
      <c r="E3" s="3" t="inlineStr">
        <is>
          <t>Rotterdam</t>
        </is>
      </c>
      <c r="F3" s="4" t="inlineStr">
        <is>
          <t>In 1970 werd de Euromast verhoogd door de toevoeging van een Space Tower, waarmee de totale hoogte op 185 meter kwam.</t>
        </is>
      </c>
      <c r="G3" s="3" t="inlineStr">
        <is>
          <t>getal staat in een zin over het onderwerp</t>
        </is>
      </c>
    </row>
    <row r="4">
      <c r="A4" s="3" t="n">
        <v>186</v>
      </c>
      <c r="B4" s="4" t="inlineStr">
        <is>
          <t>Hoeveel gram weegt een standaard Mars reep?</t>
        </is>
      </c>
      <c r="C4" s="3" t="n">
        <v>51</v>
      </c>
      <c r="D4" s="3" t="inlineStr">
        <is>
          <t>https://nl.wikipedia.org/wiki/Mars_%28reep%29</t>
        </is>
      </c>
      <c r="E4" s="3" t="inlineStr">
        <is>
          <t>Mars (reep)</t>
        </is>
      </c>
      <c r="F4" s="4" t="inlineStr">
        <is>
          <t>51 gram.</t>
        </is>
      </c>
      <c r="G4" s="3" t="inlineStr">
        <is>
          <t>getal staat bij het gevraagde maatwoord</t>
        </is>
      </c>
    </row>
    <row r="5">
      <c r="A5" s="3" t="n">
        <v>196</v>
      </c>
      <c r="B5" s="4" t="inlineStr">
        <is>
          <t>Hoeveel afleveringen telt de originele Britse serie The Office (inclusief specials)?</t>
        </is>
      </c>
      <c r="C5" s="3" t="n">
        <v>14</v>
      </c>
      <c r="D5" s="3" t="inlineStr">
        <is>
          <t>https://nl.wikipedia.org/wiki/The_Office</t>
        </is>
      </c>
      <c r="E5" s="3" t="inlineStr">
        <is>
          <t>The Office</t>
        </is>
      </c>
      <c r="F5" s="4" t="inlineStr">
        <is>
          <t>| afleveringen = 14 ( Lijst van afleveringen van The Office|lijst van afleveringen )</t>
        </is>
      </c>
      <c r="G5" s="3" t="inlineStr">
        <is>
          <t>infobox-veld "afleveringen" bevat het antwoord</t>
        </is>
      </c>
    </row>
    <row r="6">
      <c r="A6" s="3" t="n">
        <v>197</v>
      </c>
      <c r="B6" s="4" t="inlineStr">
        <is>
          <t>Hoeveel afleveringen telt de serie Friends in totaal?</t>
        </is>
      </c>
      <c r="C6" s="3" t="n">
        <v>236</v>
      </c>
      <c r="D6" s="3" t="inlineStr">
        <is>
          <t>https://en.wikipedia.org/wiki/Friends</t>
        </is>
      </c>
      <c r="E6" s="3" t="inlineStr">
        <is>
          <t>Friends</t>
        </is>
      </c>
      <c r="F6" s="4" t="inlineStr">
        <is>
          <t>| num_episodes = 236 (+ 1 special)</t>
        </is>
      </c>
      <c r="G6" s="3" t="inlineStr">
        <is>
          <t>infobox-veld "num_episodes" bevat het antwoord</t>
        </is>
      </c>
    </row>
    <row r="7">
      <c r="A7" s="3" t="n">
        <v>198</v>
      </c>
      <c r="B7" s="4" t="inlineStr">
        <is>
          <t>Hoeveel afleveringen telt de serie Game of Thrones?</t>
        </is>
      </c>
      <c r="C7" s="3" t="n">
        <v>73</v>
      </c>
      <c r="D7" s="3" t="inlineStr">
        <is>
          <t>https://nl.wikipedia.org/wiki/Game_of_Thrones</t>
        </is>
      </c>
      <c r="E7" s="3" t="inlineStr">
        <is>
          <t>Game of Thrones</t>
        </is>
      </c>
      <c r="F7" s="4" t="inlineStr">
        <is>
          <t>| afleveringen = 73 ( Lijst van afleveringen van Game of Thrones|lijst van afleveringen )</t>
        </is>
      </c>
      <c r="G7" s="3" t="inlineStr">
        <is>
          <t>infobox-veld "afleveringen" bevat het antwoord</t>
        </is>
      </c>
    </row>
    <row r="8">
      <c r="A8" s="3" t="n">
        <v>207</v>
      </c>
      <c r="B8" s="4" t="inlineStr">
        <is>
          <t>Hoeveel seizoenen telt The Simpsons?</t>
        </is>
      </c>
      <c r="C8" s="3" t="n">
        <v>35</v>
      </c>
      <c r="D8" s="3" t="inlineStr">
        <is>
          <t>https://en.wikipedia.org/wiki/The_Simpsons_season_35</t>
        </is>
      </c>
      <c r="E8" s="3" t="inlineStr">
        <is>
          <t>The Simpsons season 35</t>
        </is>
      </c>
      <c r="F8" s="4">
        <f>= References ==
== External links ==
Official website
The Simpsons season 35 at IMDb</f>
        <v/>
      </c>
      <c r="G8" s="3" t="inlineStr">
        <is>
          <t>getal staat in een zin over het onderwerp</t>
        </is>
      </c>
    </row>
    <row r="9">
      <c r="A9" s="3" t="n">
        <v>346</v>
      </c>
      <c r="B9" s="4" t="inlineStr">
        <is>
          <t>Hoeveel centimeter hoog is de Mona Lisa?</t>
        </is>
      </c>
      <c r="C9" s="3" t="n">
        <v>77</v>
      </c>
      <c r="D9" s="3" t="inlineStr">
        <is>
          <t>https://nl.wikipedia.org/wiki/Mona_Lisa</t>
        </is>
      </c>
      <c r="E9" s="3" t="inlineStr">
        <is>
          <t>Mona Lisa</t>
        </is>
      </c>
      <c r="F9" s="4" t="inlineStr">
        <is>
          <t>| hoogte = 77</t>
        </is>
      </c>
      <c r="G9" s="3" t="inlineStr">
        <is>
          <t>infobox-veld "hoogte" bevat het antwoord</t>
        </is>
      </c>
    </row>
    <row r="10">
      <c r="A10" s="3" t="n">
        <v>352</v>
      </c>
      <c r="B10" s="4" t="inlineStr">
        <is>
          <t>Hoeveel meter hoog is het Vrijheidsbeeld inclusief voetstuk?</t>
        </is>
      </c>
      <c r="C10" s="3" t="n">
        <v>93</v>
      </c>
      <c r="D10" s="3" t="inlineStr">
        <is>
          <t>https://nl.wikipedia.org/wiki/Vrijheidsbeeld_%28New_York%29</t>
        </is>
      </c>
      <c r="E10" s="3" t="inlineStr">
        <is>
          <t>Vrijheidsbeeld (New York)</t>
        </is>
      </c>
      <c r="F10" s="4">
        <f>= Kenmerken ==
Het 46 meter hoge beeld (93 meter als de sokkel wordt meegerekend) met een gewicht van 225 ton was een geschenk van Frankrijk ter ere van het eeuwfeest van de Amerikaanse Onafhankelijkheidsverklaring en ook als teken van vriendschap.</f>
        <v/>
      </c>
      <c r="G10" s="3" t="inlineStr">
        <is>
          <t>getal staat bij het gevraagde maatwoord</t>
        </is>
      </c>
    </row>
    <row r="11">
      <c r="A11" s="3" t="n">
        <v>396</v>
      </c>
      <c r="B11" s="4" t="inlineStr">
        <is>
          <t>Hoeveel studioalbums bracht Queen uit?</t>
        </is>
      </c>
      <c r="C11" s="3" t="n">
        <v>15</v>
      </c>
      <c r="D11" s="3" t="inlineStr">
        <is>
          <t>https://en.wikipedia.org/wiki/Queen_discography</t>
        </is>
      </c>
      <c r="E11" s="3" t="inlineStr">
        <is>
          <t>Queen discography</t>
        </is>
      </c>
      <c r="F11" s="4" t="inlineStr">
        <is>
          <t>British rock band Queen have released 15 studio albums, 10 live albums, 16 compilation albums, 2 soundtrack albums, 2 extended plays, 73 singles, and 7 promotional singles.</t>
        </is>
      </c>
      <c r="G11" s="3" t="inlineStr">
        <is>
          <t>getal staat in een zin over het onderwerp</t>
        </is>
      </c>
    </row>
    <row r="12">
      <c r="A12" s="3" t="n">
        <v>447</v>
      </c>
      <c r="B12" s="4" t="inlineStr">
        <is>
          <t>Hoe oud werd de oudste hond volgens Guinness World Records in jaren?</t>
        </is>
      </c>
      <c r="C12" s="3" t="n">
        <v>29</v>
      </c>
      <c r="D12" s="3" t="inlineStr">
        <is>
          <t>https://nl.wikipedia.org/wiki/Lijst_van_oudste_mensen</t>
        </is>
      </c>
      <c r="E12" s="3" t="inlineStr">
        <is>
          <t>Lijst van oudste mensen</t>
        </is>
      </c>
      <c r="F12" s="4" t="inlineStr">
        <is>
          <t>Sinds 29 augustus 2017 wordt de leeftijdsclaim van Spoto door het Guinness Book of Records niet meer erkend.</t>
        </is>
      </c>
      <c r="G12" s="3" t="inlineStr">
        <is>
          <t>getal staat in een zin over het onderwerp</t>
        </is>
      </c>
    </row>
    <row r="13">
      <c r="A13" s="3" t="n">
        <v>622</v>
      </c>
      <c r="B13" s="4" t="inlineStr">
        <is>
          <t>Hoeveel delen telt de Harry Potter serie in totaal?</t>
        </is>
      </c>
      <c r="C13" s="3" t="n">
        <v>7</v>
      </c>
      <c r="D13" s="3" t="inlineStr">
        <is>
          <t>https://en.wikipedia.org/wiki/Harry_Potter_and_the_Deathly_Hallows</t>
        </is>
      </c>
      <c r="E13" s="3" t="inlineStr">
        <is>
          <t>Harry Potter and the Deathly Hallows</t>
        </is>
      </c>
      <c r="F13" s="4" t="inlineStr">
        <is>
          <t xml:space="preserve">Scholastic, the American publisher of the Harry Potter series, launched a multimillion-dollar "There will soon be 7" marketing campaign with a Knight Bus travelling to 40 libraries across the United States, online fan discussions and competitions, collectible bookmarks, tattoos, and the staged release of seven Deathly </t>
        </is>
      </c>
      <c r="G13" s="3" t="inlineStr">
        <is>
          <t>getal staat in een zin over het onderwerp</t>
        </is>
      </c>
    </row>
    <row r="14">
      <c r="A14" s="3" t="n">
        <v>627</v>
      </c>
      <c r="B14" s="4" t="inlineStr">
        <is>
          <t>Hoeveel toneelstukken schreef Shakespeare volgens de gangbare telling?</t>
        </is>
      </c>
      <c r="C14" s="3" t="n">
        <v>39</v>
      </c>
      <c r="D14" s="3" t="inlineStr">
        <is>
          <t>https://en.wikipedia.org/wiki/Shakespeare%27s_plays</t>
        </is>
      </c>
      <c r="E14" s="3" t="inlineStr">
        <is>
          <t>Shakespeare's plays</t>
        </is>
      </c>
      <c r="F14" s="4" t="inlineStr">
        <is>
          <t>Shakespeare's plays are a canon of approximately 39 dramatic works written by the English playwright and poet William Shakespeare.</t>
        </is>
      </c>
      <c r="G14" s="3" t="inlineStr">
        <is>
          <t>getal staat in een zin over het onderwerp</t>
        </is>
      </c>
    </row>
    <row r="15">
      <c r="A15" s="3" t="n">
        <v>653</v>
      </c>
      <c r="B15" s="4" t="inlineStr">
        <is>
          <t>Hoeveel kilogram weegt een volwassen wombat?</t>
        </is>
      </c>
      <c r="C15" s="3" t="n">
        <v>30</v>
      </c>
      <c r="D15" s="3" t="inlineStr">
        <is>
          <t>https://en.wikipedia.org/wiki/Kilogram</t>
        </is>
      </c>
      <c r="E15" s="3" t="inlineStr">
        <is>
          <t>Kilogram</t>
        </is>
      </c>
      <c r="F15" s="4" t="inlineStr">
        <is>
          <t>The current definition of a kilogram agrees with this original definition to within 30 parts per million (0.003%).</t>
        </is>
      </c>
      <c r="G15" s="3" t="inlineStr">
        <is>
          <t>getal staat bij het gevraagde maatwoord</t>
        </is>
      </c>
    </row>
    <row r="16">
      <c r="A16" s="3" t="n">
        <v>665</v>
      </c>
      <c r="B16" s="4" t="inlineStr">
        <is>
          <t>Hoeveel meter per uur kruipen tuinslakken maximaal?</t>
        </is>
      </c>
      <c r="C16" s="3" t="n">
        <v>50</v>
      </c>
      <c r="D16" s="3" t="inlineStr">
        <is>
          <t>https://en.wikipedia.org/wiki/Electricity_meter</t>
        </is>
      </c>
      <c r="E16" s="3" t="inlineStr">
        <is>
          <t>Electricity meter</t>
        </is>
      </c>
      <c r="F16" s="4" t="inlineStr">
        <is>
          <t>At US$0.095/kWh, a standard residential 50 A meter causes a legally collectible charge of about US$5,000.00 per month.</t>
        </is>
      </c>
      <c r="G16" s="3" t="inlineStr">
        <is>
          <t>getal staat bij het gevraagde maatwoord</t>
        </is>
      </c>
    </row>
    <row r="17">
      <c r="A17" s="3" t="n">
        <v>678</v>
      </c>
      <c r="B17" s="4" t="inlineStr">
        <is>
          <t>Hoeveel vogelsoorten telt Australië?</t>
        </is>
      </c>
      <c r="C17" s="3" t="n">
        <v>830</v>
      </c>
      <c r="D17" s="3" t="inlineStr">
        <is>
          <t>https://nl.wikipedia.org/wiki/Fauna_van_Australi%C3%AB</t>
        </is>
      </c>
      <c r="E17" s="3" t="inlineStr">
        <is>
          <t>Fauna van Australië</t>
        </is>
      </c>
      <c r="F17" s="4">
        <f>= Vogels ==
Australië herbergt ongeveer 830 vogelsoorten, van grote zoals de emoe tot kleinere zoals de
Satijnblauwe prieelvogel, waarvan het mannetje als onderdeel van het paringsritueel uiterst gecompliceerde priëlen bouwt.</f>
        <v/>
      </c>
      <c r="G17" s="3" t="inlineStr">
        <is>
          <t>getal staat in een zin over het onderwerp</t>
        </is>
      </c>
    </row>
    <row r="18">
      <c r="A18" s="3" t="n">
        <v>710</v>
      </c>
      <c r="B18" s="4" t="inlineStr">
        <is>
          <t>Hoeveel miljoen zakken koffie produceert Brazilië per jaar?</t>
        </is>
      </c>
      <c r="C18" s="3" t="n">
        <v>60</v>
      </c>
      <c r="D18" s="3" t="inlineStr">
        <is>
          <t>https://nl.wikipedia.org/wiki/Koffie_%28drank%29</t>
        </is>
      </c>
      <c r="E18" s="3" t="inlineStr">
        <is>
          <t>Koffie (drank)</t>
        </is>
      </c>
      <c r="F18" s="4">
        <f>= Koffie wereldwijd ==
=== Productie ===
In het oogstjaar 2022/23 werden 165 miljoen zakken van 60 kilogram aan koffiebonen geoogst.</f>
        <v/>
      </c>
      <c r="G18" s="3" t="inlineStr">
        <is>
          <t>getal staat in een zin over het onderwerp</t>
        </is>
      </c>
    </row>
    <row r="19">
      <c r="A19" s="3" t="n">
        <v>712</v>
      </c>
      <c r="B19" s="4" t="inlineStr">
        <is>
          <t>Hoeveel kilogram rundvlees eet een Argentijn per jaar?</t>
        </is>
      </c>
      <c r="C19" s="3" t="n">
        <v>50</v>
      </c>
      <c r="D19" s="3" t="inlineStr">
        <is>
          <t>https://en.wikipedia.org/wiki/Kilogram</t>
        </is>
      </c>
      <c r="E19" s="3" t="inlineStr">
        <is>
          <t>Kilogram</t>
        </is>
      </c>
      <c r="F19" s="4">
        <f>= Redefinition based on fundamental constants ==
The replacement of the International Prototype of the Kilogram (IPK) as the primary standard was motivated by evidence accumulated over a long period of time that the mass of the IPK and its replicas had been changing; the IPK had diverged from its replicas by approxim</f>
        <v/>
      </c>
      <c r="G19" s="3" t="inlineStr">
        <is>
          <t>getal staat bij het gevraagde maatwoord</t>
        </is>
      </c>
    </row>
    <row r="20">
      <c r="A20" s="3" t="n">
        <v>715</v>
      </c>
      <c r="B20" s="4" t="inlineStr">
        <is>
          <t>Hoeveel Afrikaanse landen produceren koffie?</t>
        </is>
      </c>
      <c r="C20" s="3" t="n">
        <v>30</v>
      </c>
      <c r="D20" s="3" t="inlineStr">
        <is>
          <t>https://nl.wikipedia.org/wiki/Afrikaanse_Unie</t>
        </is>
      </c>
      <c r="E20" s="3" t="inlineStr">
        <is>
          <t>Afrikaanse Unie</t>
        </is>
      </c>
      <c r="F20" s="4" t="inlineStr">
        <is>
          <t>Tijdens de 8e top van de Afrikaanse Unie die op 29 en 30 januari 2007 in Addis Abeba plaatsvond, besloten de staatshoofden en regeringsleiders een wedstrijd uit te schrijven voor de selectie van een nieuwe vlag voor de Unie.</t>
        </is>
      </c>
      <c r="G20" s="3" t="inlineStr">
        <is>
          <t>getal staat in een zin over het onderwerp</t>
        </is>
      </c>
    </row>
    <row r="21">
      <c r="A21" s="3" t="n">
        <v>739</v>
      </c>
      <c r="B21" s="4" t="inlineStr">
        <is>
          <t>Hoeveel Star Wars films uit de Skywalker Saga verschenen er?</t>
        </is>
      </c>
      <c r="C21" s="3" t="n">
        <v>9</v>
      </c>
      <c r="D21" s="3" t="inlineStr">
        <is>
          <t>https://nl.wikipedia.org/wiki/Star_Tours_%E2%80%93_The_Adventures_Continue</t>
        </is>
      </c>
      <c r="E21" s="3" t="inlineStr">
        <is>
          <t>Star Tours – The Adventures Continue</t>
        </is>
      </c>
      <c r="F21" s="4" t="inlineStr">
        <is>
          <t>Uiteindelijk werd in Disneyland in Anaheim Star Tours geopend op 9 januari 1987.</t>
        </is>
      </c>
      <c r="G21" s="3" t="inlineStr">
        <is>
          <t>getal staat in een zin over het onderwerp</t>
        </is>
      </c>
    </row>
    <row r="22">
      <c r="A22" s="3" t="n">
        <v>747</v>
      </c>
      <c r="B22" s="4" t="inlineStr">
        <is>
          <t>Hoeveel minuten duurt de film Avatar: The Way of Water?</t>
        </is>
      </c>
      <c r="C22" s="3" t="n">
        <v>192</v>
      </c>
      <c r="D22" s="3" t="inlineStr">
        <is>
          <t>https://en.wikipedia.org/wiki/Avatar%3A_The_Way_of_Water</t>
        </is>
      </c>
      <c r="E22" s="3" t="inlineStr">
        <is>
          <t>Avatar: The Way of Water</t>
        </is>
      </c>
      <c r="F22" s="4" t="inlineStr">
        <is>
          <t>| runtime = 192 minutes Cite web |last1=McClintock |first1=Pamela |last2=Couch |first2=Aaron |date=October 29, 2022 |title='Avatar: The Way of Water' Runtime Sails Past Three Hours |url=https://www.hollywoodreporter.com/movies/movie-news/avatar-way-of-water-runtime-1235251391/ |url-status=live |archive-url=https://web.</t>
        </is>
      </c>
      <c r="G22" s="3" t="inlineStr">
        <is>
          <t>infobox-veld "runtime" bevat het antwoord</t>
        </is>
      </c>
    </row>
    <row r="23">
      <c r="A23" s="3" t="n">
        <v>763</v>
      </c>
      <c r="B23" s="4" t="inlineStr">
        <is>
          <t>Hoeveel keer per dag bidden moslims volgens de vijf pilaren van de islam?</t>
        </is>
      </c>
      <c r="C23" s="3" t="n">
        <v>5</v>
      </c>
      <c r="D23" s="3" t="inlineStr">
        <is>
          <t>https://en.wikipedia.org/wiki/Nepalese_Muslims</t>
        </is>
      </c>
      <c r="E23" s="3" t="inlineStr">
        <is>
          <t>Nepalese Muslims</t>
        </is>
      </c>
      <c r="F23" s="4" t="inlineStr">
        <is>
          <t>Islam is the third-largest religion in Nepal after Hinduism and Buddhism, with 5.09% of the country's population, around 1,483,066 (1.483 million) people, identifying as Muslims in the 2021 census.</t>
        </is>
      </c>
      <c r="G23" s="3" t="inlineStr">
        <is>
          <t>getal staat in een zin over het onderwerp</t>
        </is>
      </c>
    </row>
    <row r="24">
      <c r="A24" s="3" t="n">
        <v>779</v>
      </c>
      <c r="B24" s="4" t="inlineStr">
        <is>
          <t>Hoeveel kilometer lang is de Grote Muur van China volgens de officiële meting?</t>
        </is>
      </c>
      <c r="C24" s="3" t="n">
        <v>21196</v>
      </c>
      <c r="D24" s="3" t="inlineStr">
        <is>
          <t>https://nl.wikipedia.org/wiki/Chinese_Muur</t>
        </is>
      </c>
      <c r="E24" s="3" t="inlineStr">
        <is>
          <t>Chinese Muur</t>
        </is>
      </c>
      <c r="F24" s="4" t="inlineStr">
        <is>
          <t>De gehele verdedigingslinie, inclusief verdedigingsgroeven van 359 kilometer en 2232 kilometer aan natuurlijke grenzen (rivieren, heuvels en bergen), heeft een lengte van 21 196 kilometer.</t>
        </is>
      </c>
      <c r="G24" s="3" t="inlineStr">
        <is>
          <t>getal staat bij het gevraagde maatwoord</t>
        </is>
      </c>
    </row>
    <row r="25">
      <c r="A25" s="3" t="n">
        <v>780</v>
      </c>
      <c r="B25" s="4" t="inlineStr">
        <is>
          <t>Hoeveel kilometer lang is het metronet van Mexico-Stad?</t>
        </is>
      </c>
      <c r="C25" s="3" t="n">
        <v>226</v>
      </c>
      <c r="D25" s="3" t="inlineStr">
        <is>
          <t>https://en.wikipedia.org/wiki/Mexico_City_Metro</t>
        </is>
      </c>
      <c r="E25" s="3" t="inlineStr">
        <is>
          <t>Mexico City Metro</t>
        </is>
      </c>
      <c r="F25" s="4" t="inlineStr">
        <is>
          <t>| system_length = convert|200.9|km|mi|abbr=on revenue; convert|226.5|km|mi|abbr=on total cite web|url=http://www.metro.cdmx.gob.mx/operacion/longlineas.html|title=LONGITUDES DE LAS LINEAS|publisher=Metro de la Ciudad de México|language=es|trans-title=Operations figures|archive-url=https://web.archive.org/web/2016082113</t>
        </is>
      </c>
      <c r="G25" s="3" t="inlineStr">
        <is>
          <t>infobox-veld "system_length" bevat het antwoord</t>
        </is>
      </c>
    </row>
    <row r="26">
      <c r="A26" s="3" t="n">
        <v>790</v>
      </c>
      <c r="B26" s="4" t="inlineStr">
        <is>
          <t>Hoeveel meter hoog is de Christus de Verlosser inclusief sokkel?</t>
        </is>
      </c>
      <c r="C26" s="3" t="n">
        <v>38</v>
      </c>
      <c r="D26" s="3" t="inlineStr">
        <is>
          <t>https://nl.wikipedia.org/wiki/Christus_de_Verlosser_%28Rio_de_Janeiro%29</t>
        </is>
      </c>
      <c r="E26" s="3" t="inlineStr">
        <is>
          <t>Christus de Verlosser (Rio de Janeiro)</t>
        </is>
      </c>
      <c r="F26" s="4" t="inlineStr">
        <is>
          <t>Het beeld is 38 meter hoog en staat op de 710 meter hoge berg Corcovado, uitkijkend over de stad Rio de Janeiro.</t>
        </is>
      </c>
      <c r="G26" s="3" t="inlineStr">
        <is>
          <t>getal staat bij het gevraagde maatwoord</t>
        </is>
      </c>
    </row>
    <row r="27">
      <c r="A27" s="3" t="n">
        <v>791</v>
      </c>
      <c r="B27" s="4" t="inlineStr">
        <is>
          <t>Hoeveel meter hoog is de Eiffeltoren met antenne?</t>
        </is>
      </c>
      <c r="C27" s="3" t="n">
        <v>330</v>
      </c>
      <c r="D27" s="3" t="inlineStr">
        <is>
          <t>https://nl.wikipedia.org/wiki/Eiffeltoren</t>
        </is>
      </c>
      <c r="E27" s="3" t="inlineStr">
        <is>
          <t>Eiffeltoren</t>
        </is>
      </c>
      <c r="F27" s="4" t="inlineStr">
        <is>
          <t>| hoogte = 1e etage: 57,63 m 2e etage: 115,73 m 3e etage: 276,13 m Top (incl. antenne): 330 m</t>
        </is>
      </c>
      <c r="G27" s="3" t="inlineStr">
        <is>
          <t>infobox-veld "hoogte" bevat het antwoord</t>
        </is>
      </c>
    </row>
    <row r="28">
      <c r="A28" s="3" t="n">
        <v>797</v>
      </c>
      <c r="B28" s="4" t="inlineStr">
        <is>
          <t>Hoeveel meter hoog is de Taj Mahal?</t>
        </is>
      </c>
      <c r="C28" s="3" t="n">
        <v>73</v>
      </c>
      <c r="D28" s="3" t="inlineStr">
        <is>
          <t>https://en.wikipedia.org/wiki/Taj_Mahal</t>
        </is>
      </c>
      <c r="E28" s="3" t="inlineStr">
        <is>
          <t>Taj Mahal</t>
        </is>
      </c>
      <c r="F28" s="4" t="inlineStr">
        <is>
          <t>| height = cvt|73|m|ft</t>
        </is>
      </c>
      <c r="G28" s="3" t="inlineStr">
        <is>
          <t>infobox-veld "height" bevat het antwoord</t>
        </is>
      </c>
    </row>
    <row r="29">
      <c r="A29" s="3" t="n">
        <v>798</v>
      </c>
      <c r="B29" s="4" t="inlineStr">
        <is>
          <t>Hoeveel meter hoog is de Tokyo Tower?</t>
        </is>
      </c>
      <c r="C29" s="3" t="n">
        <v>333</v>
      </c>
      <c r="D29" s="3" t="inlineStr">
        <is>
          <t>https://nl.wikipedia.org/wiki/Tokyo_Skytree</t>
        </is>
      </c>
      <c r="E29" s="3" t="inlineStr">
        <is>
          <t>Tokyo Skytree</t>
        </is>
      </c>
      <c r="F29" s="4" t="inlineStr">
        <is>
          <t>De oudere Tokiotoren was met haar 333 meter niet hoog genoeg om tussen de steeds hoger wordende gebouwen in met name Centraal Tokio voldoende dekking te verkrijgen.</t>
        </is>
      </c>
      <c r="G29" s="3" t="inlineStr">
        <is>
          <t>getal staat bij het gevraagde maatwoord</t>
        </is>
      </c>
    </row>
    <row r="30">
      <c r="A30" s="3" t="n">
        <v>799</v>
      </c>
      <c r="B30" s="4" t="inlineStr">
        <is>
          <t>Hoeveel meter hoog is de Cairo Tower?</t>
        </is>
      </c>
      <c r="C30" s="3" t="n">
        <v>187</v>
      </c>
      <c r="D30" s="3" t="inlineStr">
        <is>
          <t>https://nl.wikipedia.org/wiki/Cairo_Tower</t>
        </is>
      </c>
      <c r="E30" s="3" t="inlineStr">
        <is>
          <t>Cairo Tower</t>
        </is>
      </c>
      <c r="F30" s="4" t="inlineStr">
        <is>
          <t>De toren is 187 meter hoog.</t>
        </is>
      </c>
      <c r="G30" s="3" t="inlineStr">
        <is>
          <t>getal staat bij het gevraagde maatwoord</t>
        </is>
      </c>
    </row>
    <row r="31">
      <c r="A31" s="3" t="n">
        <v>837</v>
      </c>
      <c r="B31" s="4" t="inlineStr">
        <is>
          <t>Hoeveel Europese landen liggen er niet op het vasteland (exclusief eilanden) in de EU als eilandstaten?</t>
        </is>
      </c>
      <c r="C31" s="3" t="n">
        <v>2</v>
      </c>
      <c r="D31" s="3" t="inlineStr">
        <is>
          <t>https://nl.wikipedia.org/wiki/Europese_Unie</t>
        </is>
      </c>
      <c r="E31" s="3" t="inlineStr">
        <is>
          <t>Europese Unie</t>
        </is>
      </c>
      <c r="F31" s="4" t="inlineStr">
        <is>
          <t>Tevens is in het op 1 december 2009 inwerking getreden Verdrag van Lissabon vastgelegd dat de Europese Unie zal toetreden tot het Europees Verdrag voor de Rechten van de Mens (EVRM) (artikel 6 lid 2 van het Verdrag betreffende de Europese Unie).</t>
        </is>
      </c>
      <c r="G31" s="3" t="inlineStr">
        <is>
          <t>getal staat in een zin over het onderwerp</t>
        </is>
      </c>
    </row>
    <row r="32">
      <c r="A32" s="3" t="n">
        <v>854</v>
      </c>
      <c r="B32" s="4" t="inlineStr">
        <is>
          <t>Hoeveel kilometer lang is de Donau?</t>
        </is>
      </c>
      <c r="C32" s="3" t="n">
        <v>2850</v>
      </c>
      <c r="D32" s="3" t="inlineStr">
        <is>
          <t>https://en.wikipedia.org/wiki/Danube</t>
        </is>
      </c>
      <c r="E32" s="3" t="inlineStr">
        <is>
          <t>Danube</t>
        </is>
      </c>
      <c r="F32" s="4" t="inlineStr">
        <is>
          <t>| length_km = 2,850</t>
        </is>
      </c>
      <c r="G32" s="3" t="inlineStr">
        <is>
          <t>infobox-veld "length_km" bevat het antwoord</t>
        </is>
      </c>
    </row>
    <row r="33">
      <c r="A33" s="3" t="n">
        <v>860</v>
      </c>
      <c r="B33" s="4" t="inlineStr">
        <is>
          <t>Hoeveel kilometer lang is de Kongo?</t>
        </is>
      </c>
      <c r="C33" s="3" t="n">
        <v>4700</v>
      </c>
      <c r="D33" s="3" t="inlineStr">
        <is>
          <t>https://nl.wikipedia.org/wiki/Kongo_%28rivier%29</t>
        </is>
      </c>
      <c r="E33" s="3" t="inlineStr">
        <is>
          <t>Kongo (rivier)</t>
        </is>
      </c>
      <c r="F33" s="4" t="inlineStr">
        <is>
          <t>| lengte = 4 700</t>
        </is>
      </c>
      <c r="G33" s="3" t="inlineStr">
        <is>
          <t>infobox-veld "lengte" bevat het antwoord</t>
        </is>
      </c>
    </row>
    <row r="34">
      <c r="A34" s="3" t="n">
        <v>863</v>
      </c>
      <c r="B34" s="4" t="inlineStr">
        <is>
          <t>Hoeveel kilometer lang is de Niger?</t>
        </is>
      </c>
      <c r="C34" s="3" t="n">
        <v>4200</v>
      </c>
      <c r="D34" s="3" t="inlineStr">
        <is>
          <t>https://en.wikipedia.org/wiki/Niger_River</t>
        </is>
      </c>
      <c r="E34" s="3" t="inlineStr">
        <is>
          <t>Niger River</t>
        </is>
      </c>
      <c r="F34" s="4" t="inlineStr">
        <is>
          <t>| length_km = 4,200</t>
        </is>
      </c>
      <c r="G34" s="3" t="inlineStr">
        <is>
          <t>infobox-veld "length_km" bevat het antwoord</t>
        </is>
      </c>
    </row>
    <row r="35">
      <c r="A35" s="3" t="n">
        <v>865</v>
      </c>
      <c r="B35" s="4" t="inlineStr">
        <is>
          <t>Hoeveel kilometer lang is de Rijn?</t>
        </is>
      </c>
      <c r="C35" s="3" t="n">
        <v>1230</v>
      </c>
      <c r="D35" s="3" t="inlineStr">
        <is>
          <t>https://en.wikipedia.org/wiki/Rhine</t>
        </is>
      </c>
      <c r="E35" s="3" t="inlineStr">
        <is>
          <t>Rhine</t>
        </is>
      </c>
      <c r="F35" s="4" t="inlineStr">
        <is>
          <t>| length_km = 1230</t>
        </is>
      </c>
      <c r="G35" s="3" t="inlineStr">
        <is>
          <t>infobox-veld "length_km" bevat het antwoord</t>
        </is>
      </c>
    </row>
    <row r="36">
      <c r="A36" s="3" t="n">
        <v>866</v>
      </c>
      <c r="B36" s="4" t="inlineStr">
        <is>
          <t>Hoeveel kilometer lang is de Zambezi?</t>
        </is>
      </c>
      <c r="C36" s="3" t="n">
        <v>2574</v>
      </c>
      <c r="D36" s="3" t="inlineStr">
        <is>
          <t>https://en.wikipedia.org/wiki/Zambezi</t>
        </is>
      </c>
      <c r="E36" s="3" t="inlineStr">
        <is>
          <t>Zambezi</t>
        </is>
      </c>
      <c r="F36" s="4" t="inlineStr">
        <is>
          <t>| length = cvt|2,574|km|mi</t>
        </is>
      </c>
      <c r="G36" s="3" t="inlineStr">
        <is>
          <t>infobox-veld "length" bevat het antwoord</t>
        </is>
      </c>
    </row>
    <row r="37">
      <c r="A37" s="3" t="n">
        <v>929</v>
      </c>
      <c r="B37" s="4" t="inlineStr">
        <is>
          <t>Hoeveel meter breed zijn de Victoriawatervallen?</t>
        </is>
      </c>
      <c r="C37" s="3" t="n">
        <v>1708</v>
      </c>
      <c r="D37" s="3" t="inlineStr">
        <is>
          <t>https://nl.wikipedia.org/wiki/Victoriawatervallen</t>
        </is>
      </c>
      <c r="E37" s="3" t="inlineStr">
        <is>
          <t>Victoriawatervallen</t>
        </is>
      </c>
      <c r="F37" s="4" t="inlineStr">
        <is>
          <t>Zij vormen een watergordijn van 1708 meter breed en 100 meter hoog en hebben een maximale valhoogte van 128 meter.</t>
        </is>
      </c>
      <c r="G37" s="3" t="inlineStr">
        <is>
          <t>getal staat bij het gevraagde maatwoord</t>
        </is>
      </c>
    </row>
    <row r="38">
      <c r="A38" s="3" t="n">
        <v>933</v>
      </c>
      <c r="B38" s="4" t="inlineStr">
        <is>
          <t>Hoeveel meter hoog is Mount Everest?</t>
        </is>
      </c>
      <c r="C38" s="3" t="n">
        <v>8849</v>
      </c>
      <c r="D38" s="3" t="inlineStr">
        <is>
          <t>https://nl.wikipedia.org/wiki/Mount_Everest</t>
        </is>
      </c>
      <c r="E38" s="3" t="inlineStr">
        <is>
          <t>Mount Everest</t>
        </is>
      </c>
      <c r="F38" s="4" t="inlineStr">
        <is>
          <t>| hoogte = 8849</t>
        </is>
      </c>
      <c r="G38" s="3" t="inlineStr">
        <is>
          <t>infobox-veld "hoogte" bevat het antwoord</t>
        </is>
      </c>
    </row>
    <row r="39">
      <c r="A39" s="3" t="n">
        <v>936</v>
      </c>
      <c r="B39" s="4" t="inlineStr">
        <is>
          <t>Hoeveel meter hoog is Uluru?</t>
        </is>
      </c>
      <c r="C39" s="3" t="n">
        <v>348</v>
      </c>
      <c r="D39" s="3" t="inlineStr">
        <is>
          <t>https://nl.wikipedia.org/wiki/Uluru</t>
        </is>
      </c>
      <c r="E39" s="3" t="inlineStr">
        <is>
          <t>Uluru</t>
        </is>
      </c>
      <c r="F39" s="4" t="inlineStr">
        <is>
          <t>| hoogte = 863 (boven zeeniveau) / 348</t>
        </is>
      </c>
      <c r="G39" s="3" t="inlineStr">
        <is>
          <t>infobox-veld "hoogte" bevat het antwoord</t>
        </is>
      </c>
    </row>
    <row r="40">
      <c r="A40" s="3" t="n">
        <v>939</v>
      </c>
      <c r="B40" s="4" t="inlineStr">
        <is>
          <t>Hoeveel meter hoog is de Kilimanjaro?</t>
        </is>
      </c>
      <c r="C40" s="3" t="n">
        <v>5895</v>
      </c>
      <c r="D40" s="3" t="inlineStr">
        <is>
          <t>https://nl.wikipedia.org/wiki/Kilimanjaro_%28berg%29</t>
        </is>
      </c>
      <c r="E40" s="3" t="inlineStr">
        <is>
          <t>Kilimanjaro (berg)</t>
        </is>
      </c>
      <c r="F40" s="4" t="inlineStr">
        <is>
          <t>| hoogte = 5895</t>
        </is>
      </c>
      <c r="G40" s="3" t="inlineStr">
        <is>
          <t>infobox-veld "hoogte" bevat het antwoord</t>
        </is>
      </c>
    </row>
    <row r="41">
      <c r="A41" s="3" t="n">
        <v>945</v>
      </c>
      <c r="B41" s="4" t="inlineStr">
        <is>
          <t>Hoeveel miljoen inwoners heeft Argentinië?</t>
        </is>
      </c>
      <c r="C41" s="3" t="n">
        <v>46</v>
      </c>
      <c r="D41" s="3" t="inlineStr">
        <is>
          <t>https://en.wikipedia.org/wiki/Argentina</t>
        </is>
      </c>
      <c r="E41" s="3" t="inlineStr">
        <is>
          <t>Argentina</t>
        </is>
      </c>
      <c r="F41" s="4" t="inlineStr">
        <is>
          <t>| population_census = IncreaseNeutral 46,044,703 cite news |access-date=31 January 2023 |periodical= Página/12 |quote=La población argentina tiene actualmente 46.044.703 habitantes, es decir, 5.927.607 de personas más que las relevadas en el último censo, en 2010. En mayo de 2022, pocos días después del relevamiento, e</t>
        </is>
      </c>
      <c r="G41" s="3" t="inlineStr">
        <is>
          <t>infobox-veld "population_census" bevat het antwoord</t>
        </is>
      </c>
    </row>
    <row r="42">
      <c r="A42" s="3" t="n">
        <v>956</v>
      </c>
      <c r="B42" s="4" t="inlineStr">
        <is>
          <t>Hoeveel talen erkent India als officiële taal?</t>
        </is>
      </c>
      <c r="C42" s="3" t="n">
        <v>22</v>
      </c>
      <c r="D42" s="3" t="inlineStr">
        <is>
          <t>https://en.wikipedia.org/wiki/Official_language</t>
        </is>
      </c>
      <c r="E42" s="3" t="inlineStr">
        <is>
          <t>Official language</t>
        </is>
      </c>
      <c r="F42" s="4" t="inlineStr">
        <is>
          <t>Second to Bolivia is India with 22 official languages.</t>
        </is>
      </c>
      <c r="G42" s="3" t="inlineStr">
        <is>
          <t>getal staat in een zin over het onderwerp</t>
        </is>
      </c>
    </row>
    <row r="43">
      <c r="A43" s="3" t="n">
        <v>988</v>
      </c>
      <c r="B43" s="4" t="inlineStr">
        <is>
          <t>Hoeveel Wonderen van de Oude Wereld lagen in Azië of Noord-Afrika samen?</t>
        </is>
      </c>
      <c r="C43" s="3" t="n">
        <v>4</v>
      </c>
      <c r="D43" s="3" t="inlineStr">
        <is>
          <t>https://nl.wikipedia.org/wiki/Zeven_wereldwonderen_van_de_antieke_wereld</t>
        </is>
      </c>
      <c r="E43" s="3" t="inlineStr">
        <is>
          <t>Zeven wereldwonderen van de antieke wereld</t>
        </is>
      </c>
      <c r="F43" s="4">
        <f>= Achtergrond ==
De Griekse verovering van een groot deel van de toentertijd bekende wereld in de 4e eeuw v.Chr.</f>
        <v/>
      </c>
      <c r="G43" s="3" t="inlineStr">
        <is>
          <t>getal staat in een zin over het onderwerp</t>
        </is>
      </c>
    </row>
    <row r="44">
      <c r="A44" s="3" t="n">
        <v>1027</v>
      </c>
      <c r="B44" s="4" t="inlineStr">
        <is>
          <t>In welk jaar begon de Koreaanse oorlog?</t>
        </is>
      </c>
      <c r="C44" s="3" t="n">
        <v>1950</v>
      </c>
      <c r="D44" s="3" t="inlineStr">
        <is>
          <t>https://nl.wikipedia.org/wiki/Koreaanse_Oorlog</t>
        </is>
      </c>
      <c r="E44" s="3" t="inlineStr">
        <is>
          <t>Koreaanse Oorlog</t>
        </is>
      </c>
      <c r="F44" s="4" t="inlineStr">
        <is>
          <t>De Koreaanse Oorlog of Koreaoorlog is een in het Westen gebruikte naam voor een tussen 1950 en 1953 uitgevochten oorlog tussen het communistische Noord-Korea en het prowesterse Zuid-Korea.</t>
        </is>
      </c>
      <c r="G44" s="3" t="inlineStr">
        <is>
          <t>getal staat in een zin over het onderwerp</t>
        </is>
      </c>
    </row>
    <row r="45">
      <c r="A45" s="3" t="n">
        <v>1039</v>
      </c>
      <c r="B45" s="4" t="inlineStr">
        <is>
          <t>In welk jaar werd Bolivia onafhankelijk van Spanje?</t>
        </is>
      </c>
      <c r="C45" s="3" t="n">
        <v>1825</v>
      </c>
      <c r="D45" s="3" t="inlineStr">
        <is>
          <t>https://nl.wikipedia.org/wiki/Bolivia</t>
        </is>
      </c>
      <c r="E45" s="3" t="inlineStr">
        <is>
          <t>Bolivia</t>
        </is>
      </c>
      <c r="F45" s="4" t="inlineStr">
        <is>
          <t>Na het uitroepen van de onafhankelijkheid in 1809 volgde 16 jaar van oorlog alvorens de republiek, genoemd naar Simón Bolívar, op 6 augustus 1825 werd opgericht.</t>
        </is>
      </c>
      <c r="G45" s="3" t="inlineStr">
        <is>
          <t>getal staat bij het gevraagde maatwoord</t>
        </is>
      </c>
    </row>
    <row r="46">
      <c r="A46" s="3" t="n">
        <v>1041</v>
      </c>
      <c r="B46" s="4" t="inlineStr">
        <is>
          <t>In welk jaar werd Chili onafhankelijk van Spanje?</t>
        </is>
      </c>
      <c r="C46" s="3" t="n">
        <v>1818</v>
      </c>
      <c r="D46" s="3" t="inlineStr">
        <is>
          <t>https://en.wikipedia.org/wiki/Chile</t>
        </is>
      </c>
      <c r="E46" s="3" t="inlineStr">
        <is>
          <t>Chile</t>
        </is>
      </c>
      <c r="F46" s="4" t="inlineStr">
        <is>
          <t>| established_date2 = 12 February 1818</t>
        </is>
      </c>
      <c r="G46" s="3" t="inlineStr">
        <is>
          <t>infobox-veld "established_date2" bevat het antwoord</t>
        </is>
      </c>
    </row>
    <row r="47">
      <c r="A47" s="3" t="n">
        <v>1047</v>
      </c>
      <c r="B47" s="4" t="inlineStr">
        <is>
          <t>In welk jaar werd Mexico onafhankelijk van Spanje?</t>
        </is>
      </c>
      <c r="C47" s="3" t="n">
        <v>1821</v>
      </c>
      <c r="D47" s="3" t="inlineStr">
        <is>
          <t>https://en.wikipedia.org/wiki/Mexico</t>
        </is>
      </c>
      <c r="E47" s="3" t="inlineStr">
        <is>
          <t>Mexico</t>
        </is>
      </c>
      <c r="F47" s="4" t="inlineStr">
        <is>
          <t>| established_date2 = 27 September 1821</t>
        </is>
      </c>
      <c r="G47" s="3" t="inlineStr">
        <is>
          <t>infobox-veld "established_date2" bevat het antwoord</t>
        </is>
      </c>
    </row>
    <row r="48">
      <c r="A48" s="3" t="n">
        <v>1048</v>
      </c>
      <c r="B48" s="4" t="inlineStr">
        <is>
          <t>In welk jaar werd Nelson Mandela vrijgelaten uit de gevangenis?</t>
        </is>
      </c>
      <c r="C48" s="3" t="n">
        <v>1990</v>
      </c>
      <c r="D48" s="3" t="inlineStr">
        <is>
          <t>https://en.wikipedia.org/wiki/Nelson_Mandela</t>
        </is>
      </c>
      <c r="E48" s="3" t="inlineStr">
        <is>
          <t>Nelson Mandela</t>
        </is>
      </c>
      <c r="F48" s="4" t="inlineStr">
        <is>
          <t>Although some were deeply opposed to his plans, de Klerk met with Mandela in December to discuss the situation, a meeting both men considered friendly, before legalising all formerly banned political parties in February 1990 and announcing Mandela's unconditional release.</t>
        </is>
      </c>
      <c r="G48" s="3" t="inlineStr">
        <is>
          <t>getal staat in een zin over het onderwerp</t>
        </is>
      </c>
    </row>
    <row r="49">
      <c r="A49" s="3" t="n">
        <v>1068</v>
      </c>
      <c r="B49" s="4" t="inlineStr">
        <is>
          <t>Hoeveel schilderijen worden aan Vincent van Gogh toegeschreven volgens de telling van het Van Gogh Museum?</t>
        </is>
      </c>
      <c r="C49" s="3" t="n">
        <v>900</v>
      </c>
      <c r="D49" s="3" t="inlineStr">
        <is>
          <t>https://nl.wikipedia.org/wiki/Vincent_van_Gogh_Vijfje</t>
        </is>
      </c>
      <c r="E49" s="3" t="inlineStr">
        <is>
          <t>Vincent van Gogh Vijfje</t>
        </is>
      </c>
      <c r="F49" s="4">
        <f>= De Vincent van Gogh-verzamelmunten ==
=== 5 euromunt ===
Metaal: zilver 925/1000
Gewicht: 11,9 gram
Diameter: 29 millimeter
Kwaliteit: Proof
Nominale waarde: € 5,-
Ontwerp: Karel Martens
Randschrift: God zij met ons
=== 10 euromunt ===
Metaal: goud 900/1000
Gewicht: 6,72 gram
Diameter: 22,5 millimeter
Kwaliteit:</f>
        <v/>
      </c>
      <c r="G49" s="3" t="inlineStr">
        <is>
          <t>getal staat in een zin over het onderwerp</t>
        </is>
      </c>
    </row>
    <row r="50">
      <c r="A50" s="3" t="n">
        <v>1133</v>
      </c>
      <c r="B50" s="4" t="inlineStr">
        <is>
          <t>Hoeveel symfonieën schreef Mozart?</t>
        </is>
      </c>
      <c r="C50" s="3" t="n">
        <v>41</v>
      </c>
      <c r="D50" s="3" t="inlineStr">
        <is>
          <t>https://en.wikipedia.org/wiki/List_of_symphonies_by_Wolfgang_Amadeus_Mozart</t>
        </is>
      </c>
      <c r="E50" s="3" t="inlineStr">
        <is>
          <t>List of symphonies by Wolfgang Amadeus Mozart</t>
        </is>
      </c>
      <c r="F50" s="4">
        <f>= List of symphonies ==
  : Outside of original 41
== Adapted from serenades ==
== Doubtful authenticity ==
== Spurious authenticity ==
== See also ==
Mozart symphonies of spurious or doubtful authenticity
List of compositions by Wolfgang Amadeus Mozart
== Notes ==</f>
        <v/>
      </c>
      <c r="G50" s="3" t="inlineStr">
        <is>
          <t>getal staat in een zin over het onderwerp</t>
        </is>
      </c>
    </row>
    <row r="51">
      <c r="A51" s="3" t="n">
        <v>1163</v>
      </c>
      <c r="B51" s="4" t="inlineStr">
        <is>
          <t>Hoeveel eenheden telt de Nederlandse duizendguldenbiljet-collectie uit 1970?</t>
        </is>
      </c>
      <c r="C51" s="3" t="n">
        <v>1</v>
      </c>
      <c r="D51" s="3" t="inlineStr">
        <is>
          <t>https://nl.wikipedia.org/wiki/Nederlandse_1_gulden</t>
        </is>
      </c>
      <c r="E51" s="3" t="inlineStr">
        <is>
          <t>Nederlandse 1 gulden</t>
        </is>
      </c>
      <c r="F51" s="4" t="inlineStr">
        <is>
          <t>Het 1 guldenstuk of gulden is een Nederlandse munt die vanaf het einde van de 13e eeuw tot 28 januari 2002 heeft gecirculeerd.</t>
        </is>
      </c>
      <c r="G51" s="3" t="inlineStr">
        <is>
          <t>getal staat in een zin over het onderwerp</t>
        </is>
      </c>
    </row>
    <row r="52">
      <c r="A52" s="3" t="n">
        <v>1184</v>
      </c>
      <c r="B52" s="4" t="inlineStr">
        <is>
          <t>Hoeveel kilometer lang is de HSL-Zuid hogesnelheidslijn?</t>
        </is>
      </c>
      <c r="C52" s="3" t="n">
        <v>125</v>
      </c>
      <c r="D52" s="3" t="inlineStr">
        <is>
          <t>https://en.wikipedia.org/wiki/HSL-Zuid</t>
        </is>
      </c>
      <c r="E52" s="3" t="inlineStr">
        <is>
          <t>HSL-Zuid</t>
        </is>
      </c>
      <c r="F52" s="4" t="inlineStr">
        <is>
          <t>| linelength = cvt|125|km</t>
        </is>
      </c>
      <c r="G52" s="3" t="inlineStr">
        <is>
          <t>infobox-veld "linelength" bevat het antwoord</t>
        </is>
      </c>
    </row>
    <row r="53">
      <c r="A53" s="3" t="n">
        <v>1195</v>
      </c>
      <c r="B53" s="4" t="inlineStr">
        <is>
          <t>Hoeveel klokken hangen er in het carillon van de Utrechtse Domtoren?</t>
        </is>
      </c>
      <c r="C53" s="3" t="n">
        <v>50</v>
      </c>
      <c r="D53" s="3" t="inlineStr">
        <is>
          <t>https://en.wikipedia.org/wiki/Carillon</t>
        </is>
      </c>
      <c r="E53" s="3" t="inlineStr">
        <is>
          <t>Carillon</t>
        </is>
      </c>
      <c r="F53" s="4" t="inlineStr">
        <is>
          <t>A "concert" or "standard" carillon typically has 45 to 50 bells, or a range of about four octaves.</t>
        </is>
      </c>
      <c r="G53" s="3" t="inlineStr">
        <is>
          <t>getal staat in een zin over het onderwerp</t>
        </is>
      </c>
    </row>
    <row r="54">
      <c r="A54" s="3" t="n">
        <v>1212</v>
      </c>
      <c r="B54" s="4" t="inlineStr">
        <is>
          <t>Hoeveel meter diep is het Zeelandbrug het hoogste punt voor schepen?</t>
        </is>
      </c>
      <c r="C54" s="3" t="n">
        <v>16</v>
      </c>
      <c r="D54" s="3" t="inlineStr">
        <is>
          <t>https://nl.wikipedia.org/wiki/Zeelandbrug</t>
        </is>
      </c>
      <c r="E54" s="3" t="inlineStr">
        <is>
          <t>Zeelandbrug</t>
        </is>
      </c>
      <c r="F54" s="4" t="inlineStr">
        <is>
          <t>| hoogte = 16</t>
        </is>
      </c>
      <c r="G54" s="3" t="inlineStr">
        <is>
          <t>infobox-veld "hoogte" bevat het antwoord</t>
        </is>
      </c>
    </row>
    <row r="55">
      <c r="A55" s="3" t="n">
        <v>1214</v>
      </c>
      <c r="B55" s="4" t="inlineStr">
        <is>
          <t>Hoeveel meter hoog is de Euromast vanaf de grond tot de top van de Space Tower?</t>
        </is>
      </c>
      <c r="C55" s="3" t="n">
        <v>185</v>
      </c>
      <c r="D55" s="3" t="inlineStr">
        <is>
          <t>https://nl.wikipedia.org/wiki/Euromast</t>
        </is>
      </c>
      <c r="E55" s="3" t="inlineStr">
        <is>
          <t>Euromast</t>
        </is>
      </c>
      <c r="F55" s="4" t="inlineStr">
        <is>
          <t>| hoogte = 107 m (tot 1970) 185 m (1970-heden)</t>
        </is>
      </c>
      <c r="G55" s="3" t="inlineStr">
        <is>
          <t>infobox-veld "hoogte" bevat het antwoord</t>
        </is>
      </c>
    </row>
    <row r="56">
      <c r="A56" s="3" t="n">
        <v>1243</v>
      </c>
      <c r="B56" s="4" t="inlineStr">
        <is>
          <t>Hoeveel verdiepingen heeft De Rotterdam van architect Rem Koolhaas?</t>
        </is>
      </c>
      <c r="C56" s="3" t="n">
        <v>44</v>
      </c>
      <c r="D56" s="3" t="inlineStr">
        <is>
          <t>https://nl.wikipedia.org/wiki/De_Rotterdam</t>
        </is>
      </c>
      <c r="E56" s="3" t="inlineStr">
        <is>
          <t>De Rotterdam</t>
        </is>
      </c>
      <c r="F56" s="4" t="inlineStr">
        <is>
          <t>| verdiepingen = 44</t>
        </is>
      </c>
      <c r="G56" s="3" t="inlineStr">
        <is>
          <t>infobox-veld "verdiepingen" bevat het antwoord</t>
        </is>
      </c>
    </row>
    <row r="57">
      <c r="A57" s="3" t="n">
        <v>1249</v>
      </c>
      <c r="B57" s="4" t="inlineStr">
        <is>
          <t>Hoeveel miljoen inwoners heeft China?</t>
        </is>
      </c>
      <c r="C57" s="3" t="n">
        <v>1410</v>
      </c>
      <c r="D57" s="3" t="inlineStr">
        <is>
          <t>https://nl.wikipedia.org/wiki/Bevolking_van_China</t>
        </is>
      </c>
      <c r="E57" s="3" t="inlineStr">
        <is>
          <t>Bevolking van China</t>
        </is>
      </c>
      <c r="F57" s="4" t="inlineStr">
        <is>
          <t>De bevolking van China bestaat uit 1410 miljoen personen (2023).</t>
        </is>
      </c>
      <c r="G57" s="3" t="inlineStr">
        <is>
          <t>getal staat in een zin over het onderwerp</t>
        </is>
      </c>
    </row>
    <row r="58">
      <c r="A58" s="3" t="n">
        <v>1256</v>
      </c>
      <c r="B58" s="4" t="inlineStr">
        <is>
          <t>Hoeveel electorale stemmen heeft Texas (2024)?</t>
        </is>
      </c>
      <c r="C58" s="3" t="n">
        <v>40</v>
      </c>
      <c r="D58" s="3" t="inlineStr">
        <is>
          <t>https://en.wikipedia.org/wiki/United_States_Electoral_College</t>
        </is>
      </c>
      <c r="E58" s="3" t="inlineStr">
        <is>
          <t>United States Electoral College</t>
        </is>
      </c>
      <c r="F58" s="4" t="inlineStr">
        <is>
          <t>The six states with the most electors are California (54), Texas (40), Florida (30), New York (28), Illinois (19), and Pennsylvania (19).</t>
        </is>
      </c>
      <c r="G58" s="3" t="inlineStr">
        <is>
          <t>getal staat in een zin over het onderwerp</t>
        </is>
      </c>
    </row>
    <row r="59">
      <c r="A59" s="3" t="n">
        <v>1296</v>
      </c>
      <c r="B59" s="4" t="inlineStr">
        <is>
          <t>Hoeveel zetels telt het Zuid-Afrikaanse parlement (National Assembly)?</t>
        </is>
      </c>
      <c r="C59" s="3" t="n">
        <v>400</v>
      </c>
      <c r="D59" s="3" t="inlineStr">
        <is>
          <t>https://nl.wikipedia.org/wiki/Parlement_van_Zuid-Afrika</t>
        </is>
      </c>
      <c r="E59" s="3" t="inlineStr">
        <is>
          <t>Parlement van Zuid-Afrika</t>
        </is>
      </c>
      <c r="F59" s="4" t="inlineStr">
        <is>
          <t>Het parlement van Zuid-Afrika (Engels: Parliament of South Africa) is het nationale parlement van Zuid-Afrika en bestaat uit twee kamers:
Lagerhuis: Nationale Vergadering (National Assembly) bestaande uit 400 leden.</t>
        </is>
      </c>
      <c r="G59" s="3" t="inlineStr">
        <is>
          <t>getal staat in een zin over het onderwerp</t>
        </is>
      </c>
    </row>
    <row r="60">
      <c r="A60" s="3" t="n">
        <v>1352</v>
      </c>
      <c r="B60" s="4" t="inlineStr">
        <is>
          <t>Hoeveel innings telt een standaard honkbalwedstrijd?</t>
        </is>
      </c>
      <c r="C60" s="3" t="n">
        <v>9</v>
      </c>
      <c r="D60" s="3" t="inlineStr">
        <is>
          <t>https://en.wikipedia.org/wiki/Extra_innings</t>
        </is>
      </c>
      <c r="E60" s="3" t="inlineStr">
        <is>
          <t>Extra innings</t>
        </is>
      </c>
      <c r="F60" s="4" t="inlineStr">
        <is>
          <t>The Washington Senators became the first team in Major League history to play multiple games of at least 20 innings in a season when they defeated the Minnesota Twins 9–7 in 20 innings on August 9, 1967, after winning a 22-inning game over the Chicago White Sox on June 12 of that year.</t>
        </is>
      </c>
      <c r="G60" s="3" t="inlineStr">
        <is>
          <t>getal staat in een zin over het onderwerp</t>
        </is>
      </c>
    </row>
    <row r="61">
      <c r="A61" s="3" t="n">
        <v>1359</v>
      </c>
      <c r="B61" s="4" t="inlineStr">
        <is>
          <t>Hoeveel keer werd de FIFA World Cup georganiseerd tot en met 2022?</t>
        </is>
      </c>
      <c r="C61" s="3" t="n">
        <v>22</v>
      </c>
      <c r="D61" s="3" t="inlineStr">
        <is>
          <t>https://en.wikipedia.org/wiki/2026_FIFA_World_Cup_Group_J</t>
        </is>
      </c>
      <c r="E61" s="3" t="inlineStr">
        <is>
          <t>2026 FIFA World Cup Group J</t>
        </is>
      </c>
      <c r="F61" s="4" t="inlineStr">
        <is>
          <t>On June 22, Lionel Messi scored his 17th World Cup goal in Argentina's win against Austria, surpassing Miroslav Klose (16) as the FIFA World Cup's all-time top goalscorer.</t>
        </is>
      </c>
      <c r="G61" s="3" t="inlineStr">
        <is>
          <t>getal staat in een zin over het onderwerp</t>
        </is>
      </c>
    </row>
    <row r="62">
      <c r="A62" s="3" t="n">
        <v>1373</v>
      </c>
      <c r="B62" s="4" t="inlineStr">
        <is>
          <t>Hoeveel kilometer lang is een marathon?</t>
        </is>
      </c>
      <c r="C62" s="3" t="n">
        <v>42</v>
      </c>
      <c r="D62" s="3" t="inlineStr">
        <is>
          <t>https://en.wikipedia.org/wiki/Marathon</t>
        </is>
      </c>
      <c r="E62" s="3" t="inlineStr">
        <is>
          <t>Marathon</t>
        </is>
      </c>
      <c r="F62" s="4" t="inlineStr">
        <is>
          <t>The marathon is a long-distance foot race with a distance of 42.195 kilometres (c.</t>
        </is>
      </c>
      <c r="G62" s="3" t="inlineStr">
        <is>
          <t>getal staat in een zin over het onderwerp</t>
        </is>
      </c>
    </row>
    <row r="63">
      <c r="A63" s="3" t="n">
        <v>1397</v>
      </c>
      <c r="B63" s="4" t="inlineStr">
        <is>
          <t>Hoeveel punten levert een touchdown op in American football (met extra point)?</t>
        </is>
      </c>
      <c r="C63" s="3" t="n">
        <v>7</v>
      </c>
      <c r="D63" s="3" t="inlineStr">
        <is>
          <t>https://en.wikipedia.org/wiki/American_Idol_season_7</t>
        </is>
      </c>
      <c r="E63" s="3" t="inlineStr">
        <is>
          <t>American Idol season 7</t>
        </is>
      </c>
      <c r="F63" s="4">
        <f>= Releases ==
=== iTunes ===
During season 7, American Idol partnered with iTunes to make available for sale exclusive performance videos, live performance singles of the semifinalists, and full-length studio recordings of the songs that contestants performed on the show.</f>
        <v/>
      </c>
      <c r="G63" s="3" t="inlineStr">
        <is>
          <t>getal staat in een zin over het onderwerp</t>
        </is>
      </c>
    </row>
    <row r="64">
      <c r="A64" s="3" t="n">
        <v>1400</v>
      </c>
      <c r="B64" s="4" t="inlineStr">
        <is>
          <t>Hoeveel rings heeft het NBA-logo in het midden?</t>
        </is>
      </c>
      <c r="C64" s="3" t="n">
        <v>1</v>
      </c>
      <c r="D64" s="3" t="inlineStr">
        <is>
          <t>https://en.wikipedia.org/wiki/The_Lord_of_the_Rings</t>
        </is>
      </c>
      <c r="E64" s="3" t="inlineStr">
        <is>
          <t>The Lord of the Rings</t>
        </is>
      </c>
      <c r="F64" s="4" t="inlineStr">
        <is>
          <t>1 "The Lord of the Rings".</t>
        </is>
      </c>
      <c r="G64" s="3" t="inlineStr">
        <is>
          <t>getal staat in een zin over het onderwerp</t>
        </is>
      </c>
    </row>
    <row r="65">
      <c r="A65" s="3" t="n">
        <v>1403</v>
      </c>
      <c r="B65" s="4" t="inlineStr">
        <is>
          <t>Hoeveel spelers heeft een handbalteam op het veld per ploeg?</t>
        </is>
      </c>
      <c r="C65" s="3" t="n">
        <v>7</v>
      </c>
      <c r="D65" s="3" t="inlineStr">
        <is>
          <t>https://nl.wikipedia.org/wiki/Nederlands_handbalteam_%28vrouwen%29</t>
        </is>
      </c>
      <c r="E65" s="3" t="inlineStr">
        <is>
          <t>Nederlands handbalteam (vrouwen)</t>
        </is>
      </c>
      <c r="F65" s="4" t="inlineStr">
        <is>
          <t>​ Kampioenen  ​ Runners-up  ​ Derde plaats  ​ Vierde plaats
=== Overige toernooien ===
Zeslandentoernooi Spanje 2010: 4e plaats (tegenstanders: Spanje, Montenegro, Rusland, Brazilië)
Holland Handbal Toernooi 2006: 5e plaats
Carpathian Trophy 2004: 3e plaats
E-Boks Challenge toernooi Denemarken 2001: 4e plaats (tegens</t>
        </is>
      </c>
      <c r="G65" s="3" t="inlineStr">
        <is>
          <t>getal staat in een zin over het onderwerp</t>
        </is>
      </c>
    </row>
    <row r="66">
      <c r="A66" s="3" t="n">
        <v>1448</v>
      </c>
      <c r="B66" s="4" t="inlineStr">
        <is>
          <t>Hoeveel letters staan er in de Latijnse inscriptie SPQR?</t>
        </is>
      </c>
      <c r="C66" s="3" t="n">
        <v>4</v>
      </c>
      <c r="D66" s="3" t="inlineStr">
        <is>
          <t>https://nl.wikipedia.org/wiki/Algemene_Latijnse_vervoegingen_en_verbuigingen</t>
        </is>
      </c>
      <c r="E66" s="3" t="inlineStr">
        <is>
          <t>Algemene Latijnse vervoegingen en verbuigingen</t>
        </is>
      </c>
      <c r="F66" s="4" t="inlineStr">
        <is>
          <t>Daarnaast kent het Latijnse werkwoord:
Drie genera:
Activum (bedrijvende vorm)
Passivum (lijdende vorm)
Deponens (passieve actieve vorm)
Zes tempora:
Praesens (onvoltooid tegenwoordige tijd)
Imperfectum (onvoltooid verleden tijd)
Futurum (simplex) (onvoltooid toekomende tijd)
Perfectum (voltooid tegenwoordige tijd)
P</t>
        </is>
      </c>
      <c r="G66" s="3" t="inlineStr">
        <is>
          <t>getal staat in een zin over het onderwerp</t>
        </is>
      </c>
    </row>
    <row r="67">
      <c r="A67" s="3" t="n">
        <v>1461</v>
      </c>
      <c r="B67" s="4" t="inlineStr">
        <is>
          <t>In welk jaar lanceerde Japan de Shinkansen hogesnelheidstrein?</t>
        </is>
      </c>
      <c r="C67" s="3" t="n">
        <v>1964</v>
      </c>
      <c r="D67" s="3" t="inlineStr">
        <is>
          <t>https://nl.wikipedia.org/wiki/Shinkansen</t>
        </is>
      </c>
      <c r="E67" s="3" t="inlineStr">
        <is>
          <t>Shinkansen</t>
        </is>
      </c>
      <c r="F67" s="4" t="inlineStr">
        <is>
          <t>De eerste lijn, tussen Tokio, Nagoya en Osaka, die de Tōkaidō-express gedoopt werd, werd in gebruik genomen in hetzelfde jaar waarin de Olympische Zomerspelen in Tokio (1964) werden gehouden.</t>
        </is>
      </c>
      <c r="G67" s="3" t="inlineStr">
        <is>
          <t>getal staat bij het gevraagde maatwoord</t>
        </is>
      </c>
    </row>
    <row r="68">
      <c r="A68" s="3" t="n">
        <v>1470</v>
      </c>
      <c r="B68" s="4" t="inlineStr">
        <is>
          <t>In welk jaar werd Sony opgericht?</t>
        </is>
      </c>
      <c r="C68" s="3" t="n">
        <v>1946</v>
      </c>
      <c r="D68" s="3" t="inlineStr">
        <is>
          <t>https://en.wikipedia.org/wiki/Sony</t>
        </is>
      </c>
      <c r="E68" s="3" t="inlineStr">
        <is>
          <t>Sony</t>
        </is>
      </c>
      <c r="F68" s="4" t="inlineStr">
        <is>
          <t>| founded = Start date and age|df=yes|1946|5|7 Nihonbashi , Chūō, Tokyo, Japan Cite web |title=Sony Corporate History |url=https://www.sony.com/en/SonyInfo/CorporateInfo/History/company/ |access-date=3 April 2021 |website=sony.com |language=en |archive-date=2021-04-13 |archive-url=https://web.archive.org/web/2021041319</t>
        </is>
      </c>
      <c r="G68" s="3" t="inlineStr">
        <is>
          <t>infobox-veld "founded" bevat het antwoord</t>
        </is>
      </c>
    </row>
  </sheetData>
  <autoFilter ref="A1:G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56" customWidth="1" min="4" max="4"/>
    <col width="11" customWidth="1" min="5" max="5"/>
    <col width="18" customWidth="1" min="6" max="6"/>
    <col width="56" customWidth="1" min="7" max="7"/>
    <col width="34" customWidth="1" min="8" max="8"/>
    <col width="18" customWidth="1" min="9" max="9"/>
  </cols>
  <sheetData>
    <row r="1" ht="28" customHeight="1">
      <c r="A1" s="2" t="inlineStr">
        <is>
          <t>Nr</t>
        </is>
      </c>
      <c r="B1" s="2" t="inlineStr">
        <is>
          <t>In gebruik</t>
        </is>
      </c>
      <c r="C1" s="2" t="inlineStr">
        <is>
          <t>Categorie</t>
        </is>
      </c>
      <c r="D1" s="2" t="inlineStr">
        <is>
          <t>Vraag NL</t>
        </is>
      </c>
      <c r="E1" s="2" t="inlineStr">
        <is>
          <t>Antwoord</t>
        </is>
      </c>
      <c r="F1" s="2" t="inlineStr">
        <is>
          <t>Verwachte marge</t>
        </is>
      </c>
      <c r="G1" s="2" t="inlineStr">
        <is>
          <t>Waarom dit niet kan</t>
        </is>
      </c>
      <c r="H1" s="2" t="inlineStr">
        <is>
          <t>Bron (geverifieerd)</t>
        </is>
      </c>
      <c r="I1" s="2" t="inlineStr">
        <is>
          <t>Jouw besluit</t>
        </is>
      </c>
    </row>
    <row r="2">
      <c r="A2" s="3" t="n">
        <v>48</v>
      </c>
      <c r="B2" s="3" t="inlineStr">
        <is>
          <t>daily</t>
        </is>
      </c>
      <c r="C2" s="3" t="inlineStr">
        <is>
          <t>Merken en producten</t>
        </is>
      </c>
      <c r="D2" s="4" t="inlineStr">
        <is>
          <t>Hoeveel landen heeft Coca-Cola als afzetmarkt ongeveer?</t>
        </is>
      </c>
      <c r="E2" s="3" t="n">
        <v>200</v>
      </c>
      <c r="F2" s="3" t="inlineStr">
        <is>
          <t>0 tot 195</t>
        </is>
      </c>
      <c r="G2" s="4" t="inlineStr">
        <is>
          <t>de wereld telt 195 erkende landen</t>
        </is>
      </c>
      <c r="H2" s="3" t="inlineStr">
        <is>
          <t>https://nl.wikipedia.org/wiki/The_Coca-Cola_Company</t>
        </is>
      </c>
      <c r="I2" s="3" t="inlineStr"/>
    </row>
    <row r="3">
      <c r="A3" s="3" t="n">
        <v>156</v>
      </c>
      <c r="B3" s="3" t="inlineStr">
        <is>
          <t>puzzel</t>
        </is>
      </c>
      <c r="C3" s="3" t="inlineStr">
        <is>
          <t>Dieren</t>
        </is>
      </c>
      <c r="D3" s="4" t="inlineStr">
        <is>
          <t>Hoeveel kilometer diep kan de potvis duiken?</t>
        </is>
      </c>
      <c r="E3" s="3" t="n">
        <v>2000</v>
      </c>
      <c r="F3" s="3" t="inlineStr">
        <is>
          <t>0 tot 11</t>
        </is>
      </c>
      <c r="G3" s="4" t="inlineStr">
        <is>
          <t>het diepste punt op aarde is de Marianentrog, ongeveer 11 km</t>
        </is>
      </c>
      <c r="H3" s="3" t="inlineStr"/>
      <c r="I3" s="3" t="inlineStr"/>
    </row>
    <row r="4">
      <c r="A4" s="3" t="n">
        <v>1472</v>
      </c>
      <c r="B4" s="3" t="inlineStr">
        <is>
          <t>—</t>
        </is>
      </c>
      <c r="C4" s="3" t="inlineStr">
        <is>
          <t>Technologie</t>
        </is>
      </c>
      <c r="D4" s="4" t="inlineStr">
        <is>
          <t>In welk jaar werd de Toyota motorfiets eerste gebouwd - nee Toyota is auto (1885 Daimler - dit zit niet in Azië)?</t>
        </is>
      </c>
      <c r="E4" s="3" t="n">
        <v>0</v>
      </c>
      <c r="F4" s="3" t="inlineStr">
        <is>
          <t>1 tot 2100</t>
        </is>
      </c>
      <c r="G4" s="4" t="inlineStr">
        <is>
          <t>een jaartal moet in het verleden of de nabije toekomst liggen</t>
        </is>
      </c>
      <c r="H4" s="3" t="inlineStr"/>
      <c r="I4" s="3" t="inlineStr"/>
    </row>
  </sheetData>
  <autoFilter ref="A1: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2026-09-07T18:16:27Z</dcterms:created>
  <dcterms:modified xsi:type="dcterms:W3CDTF">2026-09-07T18:16:29Z</dcterms:modified>
</cp:coreProperties>
</file>